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7932"/>
  <x:workbookPr codeName="ThisWorkbook"/>
  <mc:AlternateContent xmlns:mc="http://schemas.openxmlformats.org/markup-compatibility/2006">
    <mc:Choice Requires="x15">
      <x15ac:absPath xmlns:x15ac="http://schemas.microsoft.com/office/spreadsheetml/2010/11/ac" url="D:\letuananh\VCI\HRM\ttd-application-api-phase-2-develope\TTDesign.Api\wwwroot\Excel\"/>
    </mc:Choice>
  </mc:AlternateContent>
  <xr:revisionPtr revIDLastSave="0" documentId="13_ncr:1_{65BA586C-F26B-445A-A7D1-C4927F046AC6}" xr6:coauthVersionLast="47" xr6:coauthVersionMax="47" xr10:uidLastSave="{00000000-0000-0000-0000-000000000000}"/>
  <x:bookViews>
    <x:workbookView xWindow="-120" yWindow="-120" windowWidth="29040" windowHeight="15720" firstSheet="0" activeTab="0" xr2:uid="{00000000-000D-0000-FFFF-FFFF00000000}"/>
  </x:bookViews>
  <x:sheets>
    <x:sheet name="Sheet1" sheetId="1" r:id="rId1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2" i="1"/>
  <x:c r="D6" i="1"/>
  <x:c r="E6" i="1"/>
  <x:c r="F6" i="1"/>
  <x:c r="G6" i="1"/>
  <x:c r="H6" i="1"/>
  <x:c r="M6" i="1"/>
  <x:c r="N6" i="1"/>
  <x:c r="O6" i="1"/>
  <x:c r="P6" i="1"/>
  <x:c r="Q6" i="1"/>
  <x:c r="R6" i="1"/>
  <x:c r="D7" i="1"/>
  <x:c r="E7" i="1"/>
  <x:c r="F7" i="1"/>
  <x:c r="G7" i="1"/>
  <x:c r="H7" i="1"/>
  <x:c r="M7" i="1"/>
  <x:c r="N7" i="1"/>
  <x:c r="O7" i="1"/>
  <x:c r="P7" i="1"/>
  <x:c r="Q7" i="1"/>
  <x:c r="R7" i="1"/>
  <x:c r="D8" i="1"/>
  <x:c r="E8" i="1"/>
  <x:c r="F8" i="1"/>
  <x:c r="G8" i="1"/>
  <x:c r="H8" i="1"/>
  <x:c r="M8" i="1"/>
  <x:c r="N8" i="1"/>
  <x:c r="O8" i="1"/>
  <x:c r="P8" i="1"/>
  <x:c r="Q8" i="1"/>
  <x:c r="R8" i="1"/>
  <x:c r="D9" i="1"/>
  <x:c r="E9" i="1"/>
  <x:c r="F9" i="1"/>
  <x:c r="G9" i="1"/>
  <x:c r="H9" i="1"/>
  <x:c r="M9" i="1"/>
  <x:c r="N9" i="1"/>
  <x:c r="O9" i="1"/>
  <x:c r="P9" i="1"/>
  <x:c r="Q9" i="1"/>
  <x:c r="R9" i="1"/>
  <x:c r="D10" i="1"/>
  <x:c r="E10" i="1"/>
  <x:c r="F10" i="1"/>
  <x:c r="G10" i="1"/>
  <x:c r="H10" i="1"/>
  <x:c r="M10" i="1"/>
  <x:c r="N10" i="1"/>
  <x:c r="O10" i="1"/>
  <x:c r="P10" i="1"/>
  <x:c r="Q10" i="1"/>
  <x:c r="R10" i="1"/>
  <x:c r="D11" i="1"/>
  <x:c r="E11" i="1"/>
  <x:c r="F11" i="1"/>
  <x:c r="G11" i="1"/>
  <x:c r="H11" i="1"/>
  <x:c r="M11" i="1"/>
  <x:c r="N11" i="1"/>
  <x:c r="O11" i="1"/>
  <x:c r="P11" i="1"/>
  <x:c r="Q11" i="1"/>
  <x:c r="R11" i="1"/>
  <x:c r="D12" i="1"/>
  <x:c r="E12" i="1"/>
  <x:c r="F12" i="1"/>
  <x:c r="G12" i="1"/>
  <x:c r="H12" i="1"/>
  <x:c r="M12" i="1"/>
  <x:c r="N12" i="1"/>
  <x:c r="O12" i="1"/>
  <x:c r="P12" i="1"/>
  <x:c r="Q12" i="1"/>
  <x:c r="R12" i="1"/>
  <x:c r="D13" i="1"/>
  <x:c r="E13" i="1"/>
  <x:c r="F13" i="1"/>
  <x:c r="G13" i="1"/>
  <x:c r="H13" i="1"/>
  <x:c r="M13" i="1"/>
  <x:c r="N13" i="1"/>
  <x:c r="O13" i="1"/>
  <x:c r="P13" i="1"/>
  <x:c r="Q13" i="1"/>
  <x:c r="R13" i="1"/>
  <x:c r="D14" i="1"/>
  <x:c r="E14" i="1"/>
  <x:c r="F14" i="1"/>
  <x:c r="G14" i="1"/>
  <x:c r="H14" i="1"/>
  <x:c r="M14" i="1"/>
  <x:c r="N14" i="1"/>
  <x:c r="O14" i="1"/>
  <x:c r="P14" i="1"/>
  <x:c r="Q14" i="1"/>
  <x:c r="R14" i="1"/>
  <x:c r="D15" i="1"/>
  <x:c r="E15" i="1"/>
  <x:c r="F15" i="1"/>
  <x:c r="G15" i="1"/>
  <x:c r="H15" i="1"/>
  <x:c r="M15" i="1"/>
  <x:c r="N15" i="1"/>
  <x:c r="O15" i="1"/>
  <x:c r="P15" i="1"/>
  <x:c r="Q15" i="1"/>
  <x:c r="R15" i="1"/>
  <x:c r="D16" i="1"/>
  <x:c r="E16" i="1"/>
  <x:c r="F16" i="1"/>
  <x:c r="G16" i="1"/>
  <x:c r="H16" i="1"/>
  <x:c r="M16" i="1"/>
  <x:c r="N16" i="1"/>
  <x:c r="O16" i="1"/>
  <x:c r="P16" i="1"/>
  <x:c r="Q16" i="1"/>
  <x:c r="R16" i="1"/>
  <x:c r="D17" i="1"/>
  <x:c r="E17" i="1"/>
  <x:c r="F17" i="1"/>
  <x:c r="G17" i="1"/>
  <x:c r="H17" i="1"/>
  <x:c r="M17" i="1"/>
  <x:c r="N17" i="1"/>
  <x:c r="O17" i="1"/>
  <x:c r="P17" i="1"/>
  <x:c r="Q17" i="1"/>
  <x:c r="R17" i="1"/>
  <x:c r="D18" i="1"/>
  <x:c r="E18" i="1"/>
  <x:c r="F18" i="1"/>
  <x:c r="G18" i="1"/>
  <x:c r="H18" i="1"/>
  <x:c r="M18" i="1"/>
  <x:c r="N18" i="1"/>
  <x:c r="O18" i="1"/>
  <x:c r="P18" i="1"/>
  <x:c r="Q18" i="1"/>
  <x:c r="R18" i="1"/>
  <x:c r="D19" i="1"/>
  <x:c r="E19" i="1"/>
  <x:c r="F19" i="1"/>
  <x:c r="G19" i="1"/>
  <x:c r="H19" i="1"/>
  <x:c r="M19" i="1"/>
  <x:c r="N19" i="1"/>
  <x:c r="O19" i="1"/>
  <x:c r="P19" i="1"/>
  <x:c r="Q19" i="1"/>
  <x:c r="R19" i="1"/>
  <x:c r="D20" i="1"/>
  <x:c r="E20" i="1"/>
  <x:c r="F20" i="1"/>
  <x:c r="G20" i="1"/>
  <x:c r="H20" i="1"/>
  <x:c r="M20" i="1"/>
  <x:c r="N20" i="1"/>
  <x:c r="O20" i="1"/>
  <x:c r="P20" i="1"/>
  <x:c r="Q20" i="1"/>
  <x:c r="R20" i="1"/>
  <x:c r="D21" i="1"/>
  <x:c r="E21" i="1"/>
  <x:c r="F21" i="1"/>
  <x:c r="G21" i="1"/>
  <x:c r="H21" i="1"/>
  <x:c r="M21" i="1"/>
  <x:c r="N21" i="1"/>
  <x:c r="O21" i="1"/>
  <x:c r="P21" i="1"/>
  <x:c r="Q21" i="1"/>
  <x:c r="R21" i="1"/>
  <x:c r="D22" i="1"/>
  <x:c r="E22" i="1"/>
  <x:c r="F22" i="1"/>
  <x:c r="G22" i="1"/>
  <x:c r="H22" i="1"/>
  <x:c r="M22" i="1"/>
  <x:c r="N22" i="1"/>
  <x:c r="O22" i="1"/>
  <x:c r="P22" i="1"/>
  <x:c r="Q22" i="1"/>
  <x:c r="R22" i="1"/>
  <x:c r="D23" i="1"/>
  <x:c r="E23" i="1"/>
  <x:c r="F23" i="1"/>
  <x:c r="G23" i="1"/>
  <x:c r="H23" i="1"/>
  <x:c r="M23" i="1"/>
  <x:c r="N23" i="1"/>
  <x:c r="O23" i="1"/>
  <x:c r="P23" i="1"/>
  <x:c r="Q23" i="1"/>
  <x:c r="R23" i="1"/>
  <x:c r="D24" i="1"/>
  <x:c r="E24" i="1"/>
  <x:c r="F24" i="1"/>
  <x:c r="G24" i="1"/>
  <x:c r="H24" i="1"/>
  <x:c r="M24" i="1"/>
  <x:c r="N24" i="1"/>
  <x:c r="O24" i="1"/>
  <x:c r="P24" i="1"/>
  <x:c r="Q24" i="1"/>
  <x:c r="R24" i="1"/>
  <x:c r="D25" i="1"/>
  <x:c r="E25" i="1"/>
  <x:c r="F25" i="1"/>
  <x:c r="G25" i="1"/>
  <x:c r="H25" i="1"/>
  <x:c r="M25" i="1"/>
  <x:c r="N25" i="1"/>
  <x:c r="O25" i="1"/>
  <x:c r="P25" i="1"/>
  <x:c r="Q25" i="1"/>
  <x:c r="R25" i="1"/>
  <x:c r="D26" i="1"/>
  <x:c r="E26" i="1"/>
  <x:c r="F26" i="1"/>
  <x:c r="G26" i="1"/>
  <x:c r="H26" i="1"/>
  <x:c r="M26" i="1"/>
  <x:c r="N26" i="1"/>
  <x:c r="O26" i="1"/>
  <x:c r="P26" i="1"/>
  <x:c r="Q26" i="1"/>
  <x:c r="R26" i="1"/>
  <x:c r="D27" i="1"/>
  <x:c r="E27" i="1"/>
  <x:c r="F27" i="1"/>
  <x:c r="G27" i="1"/>
  <x:c r="H27" i="1"/>
  <x:c r="M27" i="1"/>
  <x:c r="N27" i="1"/>
  <x:c r="O27" i="1"/>
  <x:c r="P27" i="1"/>
  <x:c r="Q27" i="1"/>
  <x:c r="R27" i="1"/>
  <x:c r="D28" i="1"/>
  <x:c r="E28" i="1"/>
  <x:c r="F28" i="1"/>
  <x:c r="G28" i="1"/>
  <x:c r="H28" i="1"/>
  <x:c r="M28" i="1"/>
  <x:c r="N28" i="1"/>
  <x:c r="O28" i="1"/>
  <x:c r="P28" i="1"/>
  <x:c r="Q28" i="1"/>
  <x:c r="R28" i="1"/>
  <x:c r="D29" i="1"/>
  <x:c r="E29" i="1"/>
  <x:c r="F29" i="1"/>
  <x:c r="G29" i="1"/>
  <x:c r="H29" i="1"/>
  <x:c r="M29" i="1"/>
  <x:c r="N29" i="1"/>
  <x:c r="O29" i="1"/>
  <x:c r="P29" i="1"/>
  <x:c r="Q29" i="1"/>
  <x:c r="R29" i="1"/>
  <x:c r="D30" i="1"/>
  <x:c r="E30" i="1"/>
  <x:c r="F30" i="1"/>
  <x:c r="G30" i="1"/>
  <x:c r="H30" i="1"/>
  <x:c r="M30" i="1"/>
  <x:c r="N30" i="1"/>
  <x:c r="O30" i="1"/>
  <x:c r="P30" i="1"/>
  <x:c r="Q30" i="1"/>
  <x:c r="R30" i="1"/>
  <x:c r="D31" i="1"/>
  <x:c r="E31" i="1"/>
  <x:c r="F31" i="1"/>
  <x:c r="G31" i="1"/>
  <x:c r="H31" i="1"/>
  <x:c r="M31" i="1"/>
  <x:c r="N31" i="1"/>
  <x:c r="O31" i="1"/>
  <x:c r="P31" i="1"/>
  <x:c r="Q31" i="1"/>
  <x:c r="R31" i="1"/>
  <x:c r="D32" i="1"/>
  <x:c r="E32" i="1"/>
  <x:c r="F32" i="1"/>
  <x:c r="G32" i="1"/>
  <x:c r="H32" i="1"/>
  <x:c r="M32" i="1"/>
  <x:c r="N32" i="1"/>
  <x:c r="O32" i="1"/>
  <x:c r="P32" i="1"/>
  <x:c r="Q32" i="1"/>
  <x:c r="R32" i="1"/>
  <x:c r="D33" i="1"/>
  <x:c r="E33" i="1"/>
  <x:c r="F33" i="1"/>
  <x:c r="G33" i="1"/>
  <x:c r="H33" i="1"/>
  <x:c r="M33" i="1"/>
  <x:c r="N33" i="1"/>
  <x:c r="O33" i="1"/>
  <x:c r="P33" i="1"/>
  <x:c r="Q33" i="1"/>
  <x:c r="R33" i="1"/>
  <x:c r="D34" i="1"/>
  <x:c r="E34" i="1"/>
  <x:c r="F34" i="1"/>
  <x:c r="G34" i="1"/>
  <x:c r="H34" i="1"/>
  <x:c r="M34" i="1"/>
  <x:c r="N34" i="1"/>
  <x:c r="O34" i="1"/>
  <x:c r="P34" i="1"/>
  <x:c r="Q34" i="1"/>
  <x:c r="R34" i="1"/>
  <x:c r="D35" i="1"/>
  <x:c r="E35" i="1"/>
  <x:c r="F35" i="1"/>
  <x:c r="G35" i="1"/>
  <x:c r="H35" i="1"/>
  <x:c r="M35" i="1"/>
  <x:c r="N35" i="1"/>
  <x:c r="O35" i="1"/>
  <x:c r="P35" i="1"/>
  <x:c r="Q35" i="1"/>
  <x:c r="R35" i="1"/>
  <x:c r="D36" i="1"/>
  <x:c r="E36" i="1"/>
  <x:c r="F36" i="1"/>
  <x:c r="G36" i="1"/>
  <x:c r="H36" i="1"/>
  <x:c r="M36" i="1"/>
  <x:c r="N36" i="1"/>
  <x:c r="O36" i="1"/>
  <x:c r="P36" i="1"/>
  <x:c r="Q36" i="1"/>
  <x:c r="R36" i="1"/>
  <x:c r="D37" i="1"/>
  <x:c r="E37" i="1"/>
  <x:c r="F37" i="1"/>
  <x:c r="G37" i="1"/>
  <x:c r="H37" i="1"/>
  <x:c r="M37" i="1"/>
  <x:c r="N37" i="1"/>
  <x:c r="O37" i="1"/>
  <x:c r="P37" i="1"/>
  <x:c r="Q37" i="1"/>
  <x:c r="R37" i="1"/>
  <x:c r="D38" i="1"/>
  <x:c r="E38" i="1"/>
  <x:c r="F38" i="1"/>
  <x:c r="G38" i="1"/>
  <x:c r="H38" i="1"/>
  <x:c r="M38" i="1"/>
  <x:c r="N38" i="1"/>
  <x:c r="O38" i="1"/>
  <x:c r="P38" i="1"/>
  <x:c r="Q38" i="1"/>
  <x:c r="R38" i="1"/>
  <x:c r="D39" i="1"/>
  <x:c r="E39" i="1"/>
  <x:c r="F39" i="1"/>
  <x:c r="G39" i="1"/>
  <x:c r="H39" i="1"/>
  <x:c r="M39" i="1"/>
  <x:c r="N39" i="1"/>
  <x:c r="O39" i="1"/>
  <x:c r="P39" i="1"/>
  <x:c r="Q39" i="1"/>
  <x:c r="R39" i="1"/>
  <x:c r="D40" i="1"/>
  <x:c r="E40" i="1"/>
  <x:c r="F40" i="1"/>
  <x:c r="G40" i="1"/>
  <x:c r="H40" i="1"/>
  <x:c r="M40" i="1"/>
  <x:c r="N40" i="1"/>
  <x:c r="O40" i="1"/>
  <x:c r="P40" i="1"/>
  <x:c r="Q40" i="1"/>
  <x:c r="R40" i="1"/>
  <x:c r="D41" i="1"/>
  <x:c r="E41" i="1"/>
  <x:c r="F41" i="1"/>
  <x:c r="G41" i="1"/>
  <x:c r="H41" i="1"/>
  <x:c r="M41" i="1"/>
  <x:c r="N41" i="1"/>
  <x:c r="O41" i="1"/>
  <x:c r="P41" i="1"/>
  <x:c r="Q41" i="1"/>
  <x:c r="R41" i="1"/>
  <x:c r="D42" i="1"/>
  <x:c r="E42" i="1"/>
  <x:c r="F42" i="1"/>
  <x:c r="G42" i="1"/>
  <x:c r="H42" i="1"/>
  <x:c r="M42" i="1"/>
  <x:c r="N42" i="1"/>
  <x:c r="O42" i="1"/>
  <x:c r="P42" i="1"/>
  <x:c r="Q42" i="1"/>
  <x:c r="R42" i="1"/>
  <x:c r="D43" i="1"/>
  <x:c r="E43" i="1"/>
  <x:c r="F43" i="1"/>
  <x:c r="G43" i="1"/>
  <x:c r="H43" i="1"/>
  <x:c r="M43" i="1"/>
  <x:c r="N43" i="1"/>
  <x:c r="O43" i="1"/>
  <x:c r="P43" i="1"/>
  <x:c r="Q43" i="1"/>
  <x:c r="R43" i="1"/>
  <x:c r="D44" i="1"/>
  <x:c r="E44" i="1"/>
  <x:c r="F44" i="1"/>
  <x:c r="G44" i="1"/>
  <x:c r="H44" i="1"/>
  <x:c r="M44" i="1"/>
  <x:c r="N44" i="1"/>
  <x:c r="O44" i="1"/>
  <x:c r="P44" i="1"/>
  <x:c r="Q44" i="1"/>
  <x:c r="R44" i="1"/>
  <x:c r="D45" i="1"/>
  <x:c r="E45" i="1"/>
  <x:c r="F45" i="1"/>
  <x:c r="G45" i="1"/>
  <x:c r="H45" i="1"/>
  <x:c r="M45" i="1"/>
  <x:c r="N45" i="1"/>
  <x:c r="O45" i="1"/>
  <x:c r="P45" i="1"/>
  <x:c r="Q45" i="1"/>
  <x:c r="R45" i="1"/>
  <x:c r="D46" i="1"/>
  <x:c r="E46" i="1"/>
  <x:c r="F46" i="1"/>
  <x:c r="G46" i="1"/>
  <x:c r="H46" i="1"/>
  <x:c r="M46" i="1"/>
  <x:c r="N46" i="1"/>
  <x:c r="O46" i="1"/>
  <x:c r="P46" i="1"/>
  <x:c r="Q46" i="1"/>
  <x:c r="R46" i="1"/>
  <x:c r="D47" i="1"/>
  <x:c r="E47" i="1"/>
  <x:c r="F47" i="1"/>
  <x:c r="G47" i="1"/>
  <x:c r="H47" i="1"/>
  <x:c r="M47" i="1"/>
  <x:c r="N47" i="1"/>
  <x:c r="O47" i="1"/>
  <x:c r="P47" i="1"/>
  <x:c r="Q47" i="1"/>
  <x:c r="R47" i="1"/>
  <x:c r="D48" i="1"/>
  <x:c r="E48" i="1"/>
  <x:c r="F48" i="1"/>
  <x:c r="G48" i="1"/>
  <x:c r="H48" i="1"/>
  <x:c r="M48" i="1"/>
  <x:c r="N48" i="1"/>
  <x:c r="O48" i="1"/>
  <x:c r="P48" i="1"/>
  <x:c r="Q48" i="1"/>
  <x:c r="R48" i="1"/>
  <x:c r="D49" i="1"/>
  <x:c r="E49" i="1"/>
  <x:c r="F49" i="1"/>
  <x:c r="G49" i="1"/>
  <x:c r="H49" i="1"/>
  <x:c r="M49" i="1"/>
  <x:c r="N49" i="1"/>
  <x:c r="O49" i="1"/>
  <x:c r="P49" i="1"/>
  <x:c r="Q49" i="1"/>
  <x:c r="R49" i="1"/>
  <x:c r="D50" i="1"/>
  <x:c r="E50" i="1"/>
  <x:c r="F50" i="1"/>
  <x:c r="G50" i="1"/>
  <x:c r="H50" i="1"/>
  <x:c r="M50" i="1"/>
  <x:c r="N50" i="1"/>
  <x:c r="O50" i="1"/>
  <x:c r="P50" i="1"/>
  <x:c r="Q50" i="1"/>
  <x:c r="R50" i="1"/>
  <x:c r="D51" i="1"/>
  <x:c r="E51" i="1"/>
  <x:c r="F51" i="1"/>
  <x:c r="G51" i="1"/>
  <x:c r="H51" i="1"/>
  <x:c r="M51" i="1"/>
  <x:c r="N51" i="1"/>
  <x:c r="O51" i="1"/>
  <x:c r="P51" i="1"/>
  <x:c r="Q51" i="1"/>
  <x:c r="R51" i="1"/>
  <x:c r="D52" i="1"/>
  <x:c r="E52" i="1"/>
  <x:c r="F52" i="1"/>
  <x:c r="G52" i="1"/>
  <x:c r="H52" i="1"/>
  <x:c r="M52" i="1"/>
  <x:c r="N52" i="1"/>
  <x:c r="O52" i="1"/>
  <x:c r="P52" i="1"/>
  <x:c r="Q52" i="1"/>
  <x:c r="R52" i="1"/>
  <x:c r="D53" i="1"/>
  <x:c r="E53" i="1"/>
  <x:c r="F53" i="1"/>
  <x:c r="G53" i="1"/>
  <x:c r="H53" i="1"/>
  <x:c r="M53" i="1"/>
  <x:c r="N53" i="1"/>
  <x:c r="O53" i="1"/>
  <x:c r="P53" i="1"/>
  <x:c r="Q53" i="1"/>
  <x:c r="R53" i="1"/>
  <x:c r="D54" i="1"/>
  <x:c r="E54" i="1"/>
  <x:c r="F54" i="1"/>
  <x:c r="G54" i="1"/>
  <x:c r="H54" i="1"/>
  <x:c r="M54" i="1"/>
  <x:c r="N54" i="1"/>
  <x:c r="O54" i="1"/>
  <x:c r="P54" i="1"/>
  <x:c r="Q54" i="1"/>
  <x:c r="R54" i="1"/>
  <x:c r="D55" i="1"/>
  <x:c r="E55" i="1"/>
  <x:c r="F55" i="1"/>
  <x:c r="G55" i="1"/>
  <x:c r="H55" i="1"/>
  <x:c r="M55" i="1"/>
  <x:c r="N55" i="1"/>
  <x:c r="O55" i="1"/>
  <x:c r="P55" i="1"/>
  <x:c r="Q55" i="1"/>
  <x:c r="R55" i="1"/>
</x:calcChain>
</file>

<file path=xl/sharedStrings.xml><?xml version="1.0" encoding="utf-8"?>
<x:sst xmlns:x="http://schemas.openxmlformats.org/spreadsheetml/2006/main" count="103" uniqueCount="103">
  <x:si>
    <x:t>BẢNG TỔNG KẾT NGÀY/GIỜ CÔNG TỪ 2025/05/20 ĐẾN 2025/05/20
The summary of Timesheet From 2025/05/20 To 2025/06/19</x:t>
  </x:si>
  <x:si>
    <x:r>
      <x:rPr>
        <x:b/>
        <x:vertAlign val="baseline"/>
        <x:sz val="10"/>
        <x:color rgb="FF000000"/>
        <x:rFont val="Arial"/>
        <x:family val="2"/>
      </x:rPr>
      <x:t xml:space="preserve">STT
</x:t>
    </x:r>
    <x:r>
      <x:rPr>
        <x:vertAlign val="baseline"/>
        <x:sz val="11"/>
        <x:color theme="1"/>
        <x:rFont val="Calibri"/>
        <x:family val="2"/>
      </x:rPr>
      <x:t>No.</x:t>
    </x:r>
  </x:si>
  <x:si>
    <x:r>
      <x:rPr>
        <x:b/>
        <x:vertAlign val="baseline"/>
        <x:sz val="10"/>
        <x:color rgb="FF000000"/>
        <x:rFont val="Arial"/>
        <x:family val="2"/>
      </x:rPr>
      <x:t>Họ Tên</x:t>
    </x:r>
    <x:r>
      <x:rPr>
        <x:vertAlign val="baseline"/>
        <x:sz val="11"/>
        <x:color theme="1"/>
        <x:rFont val="Calibri"/>
        <x:family val="2"/>
      </x:rPr>
      <x:t xml:space="preserve">
 Full Name</x:t>
    </x:r>
  </x:si>
  <x:si>
    <x:r>
      <x:rPr>
        <x:b/>
        <x:vertAlign val="baseline"/>
        <x:sz val="10"/>
        <x:color theme="1"/>
        <x:rFont val="Arial"/>
        <x:family val="2"/>
      </x:rPr>
      <x:t>Mã nhân viên</x:t>
    </x:r>
    <x:r>
      <x:rPr>
        <x:vertAlign val="baseline"/>
        <x:sz val="11"/>
        <x:color theme="1"/>
        <x:rFont val="Calibri"/>
        <x:family val="2"/>
      </x:rPr>
      <x:t xml:space="preserve">
Employee Code</x:t>
    </x:r>
  </x:si>
  <x:si>
    <x:t>Ngày công trong tháng
Working day in month</x:t>
  </x:si>
  <x:si>
    <x:r>
      <x:rPr>
        <x:b/>
        <x:vertAlign val="baseline"/>
        <x:sz val="10"/>
        <x:color rgb="FF000000"/>
        <x:rFont val="Arial"/>
        <x:family val="2"/>
      </x:rPr>
      <x:t>Công thực tế (NGÀY)</x:t>
    </x:r>
    <x:r>
      <x:rPr>
        <x:vertAlign val="baseline"/>
        <x:sz val="11"/>
        <x:color theme="1"/>
        <x:rFont val="Calibri"/>
        <x:family val="2"/>
      </x:rPr>
      <x:t xml:space="preserve">
 Actual Working Days</x:t>
    </x:r>
  </x:si>
  <x:si>
    <x:r>
      <x:rPr>
        <x:b/>
        <x:vertAlign val="baseline"/>
        <x:sz val="10"/>
        <x:color rgb="FF000000"/>
        <x:rFont val="Arial"/>
        <x:family val="2"/>
      </x:rPr>
      <x:t>Giờ công thực tế tính lương (GIỜ)</x:t>
    </x:r>
    <x:r>
      <x:rPr>
        <x:vertAlign val="baseline"/>
        <x:sz val="11"/>
        <x:color theme="1"/>
        <x:rFont val="Calibri"/>
        <x:family val="2"/>
      </x:rPr>
      <x:t xml:space="preserve">
 Actual working time (hours)</x:t>
    </x:r>
  </x:si>
  <x:si>
    <x:r>
      <x:rPr>
        <x:b/>
        <x:vertAlign val="baseline"/>
        <x:sz val="11"/>
        <x:color theme="1"/>
        <x:rFont val="Calibri"/>
        <x:family val="2"/>
      </x:rPr>
      <x:t>Trạng thái</x:t>
    </x:r>
    <x:r>
      <x:rPr>
        <x:vertAlign val="baseline"/>
        <x:sz val="11"/>
        <x:color theme="1"/>
        <x:rFont val="Calibri"/>
        <x:family val="2"/>
      </x:rPr>
      <x:t xml:space="preserve">
</x:t>
    </x:r>
    <x:r>
      <x:rPr>
        <x:vertAlign val="baseline"/>
        <x:sz val="11"/>
        <x:color theme="1"/>
        <x:rFont val="Calibri"/>
        <x:family val="2"/>
      </x:rPr>
      <x:t>Status</x:t>
    </x:r>
  </x:si>
  <x:si>
    <x:r>
      <x:rPr>
        <x:b/>
        <x:vertAlign val="baseline"/>
        <x:sz val="10"/>
        <x:color rgb="FF000000"/>
        <x:rFont val="Arial"/>
        <x:family val="2"/>
      </x:rPr>
      <x:t xml:space="preserve">Ngày công thường
</x:t>
    </x:r>
    <x:r>
      <x:rPr>
        <x:vertAlign val="baseline"/>
        <x:sz val="11"/>
        <x:color theme="1"/>
        <x:rFont val="Calibri"/>
        <x:family val="2"/>
      </x:rPr>
      <x:t>Day work at office</x:t>
    </x:r>
  </x:si>
  <x:si>
    <x:r>
      <x:rPr>
        <x:b/>
        <x:vertAlign val="baseline"/>
        <x:sz val="10"/>
        <x:color rgb="FF000000"/>
        <x:rFont val="Arial"/>
        <x:family val="2"/>
      </x:rPr>
      <x:t xml:space="preserve">Nghỉ không lương
</x:t>
    </x:r>
    <x:r>
      <x:rPr>
        <x:vertAlign val="baseline"/>
        <x:sz val="11"/>
        <x:color theme="1"/>
        <x:rFont val="Calibri"/>
        <x:family val="2"/>
      </x:rPr>
      <x:t>Unpaid Leave</x:t>
    </x:r>
  </x:si>
  <x:si>
    <x:r>
      <x:rPr>
        <x:b/>
        <x:vertAlign val="baseline"/>
        <x:sz val="10"/>
        <x:color rgb="FF000000"/>
        <x:rFont val="Arial"/>
        <x:family val="2"/>
      </x:rPr>
      <x:t xml:space="preserve">Nghỉ có lương
</x:t>
    </x:r>
    <x:r>
      <x:rPr>
        <x:vertAlign val="baseline"/>
        <x:sz val="11"/>
        <x:color theme="1"/>
        <x:rFont val="Calibri"/>
        <x:family val="2"/>
      </x:rPr>
      <x:t>Paid Leave</x:t>
    </x:r>
  </x:si>
  <x:si>
    <x:r>
      <x:rPr>
        <x:b/>
        <x:vertAlign val="baseline"/>
        <x:sz val="10"/>
        <x:color rgb="FF000000"/>
        <x:rFont val="Arial"/>
        <x:family val="2"/>
      </x:rPr>
      <x:t xml:space="preserve">Nghỉ lễ
</x:t>
    </x:r>
    <x:r>
      <x:rPr>
        <x:vertAlign val="baseline"/>
        <x:sz val="11"/>
        <x:color theme="1"/>
        <x:rFont val="Calibri"/>
        <x:family val="2"/>
      </x:rPr>
      <x:t>Public Holiday</x:t>
    </x:r>
  </x:si>
  <x:si>
    <x:r>
      <x:rPr>
        <x:b/>
        <x:vertAlign val="baseline"/>
        <x:sz val="10"/>
        <x:color rgb="FF000000"/>
        <x:rFont val="Arial"/>
        <x:family val="2"/>
      </x:rPr>
      <x:t xml:space="preserve">Giờ công thường
</x:t>
    </x:r>
    <x:r>
      <x:rPr>
        <x:vertAlign val="baseline"/>
        <x:sz val="11"/>
        <x:color theme="1"/>
        <x:rFont val="Calibri"/>
        <x:family val="2"/>
      </x:rPr>
      <x:t>Normal working time</x:t>
    </x:r>
  </x:si>
  <x:si>
    <x:r>
      <x:rPr>
        <x:b/>
        <x:vertAlign val="baseline"/>
        <x:sz val="10"/>
        <x:color rgb="FF000000"/>
        <x:rFont val="Arial"/>
        <x:family val="2"/>
      </x:rPr>
      <x:t xml:space="preserve">Nghỉ không lương
</x:t>
    </x:r>
    <x:r>
      <x:rPr>
        <x:vertAlign val="baseline"/>
        <x:sz val="11"/>
        <x:color theme="1"/>
        <x:rFont val="Calibri"/>
        <x:family val="2"/>
      </x:rPr>
      <x:t>Unpaid Leave</x:t>
    </x:r>
  </x:si>
  <x:si>
    <x:r>
      <x:rPr>
        <x:b/>
        <x:vertAlign val="baseline"/>
        <x:sz val="10"/>
        <x:color rgb="FF000000"/>
        <x:rFont val="Arial"/>
        <x:family val="2"/>
      </x:rPr>
      <x:t xml:space="preserve">Nghỉ có lương
</x:t>
    </x:r>
    <x:r>
      <x:rPr>
        <x:vertAlign val="baseline"/>
        <x:sz val="11"/>
        <x:color theme="1"/>
        <x:rFont val="Calibri"/>
        <x:family val="2"/>
      </x:rPr>
      <x:t>Paid Leave</x:t>
    </x:r>
  </x:si>
  <x:si>
    <x:r>
      <x:rPr>
        <x:b/>
        <x:vertAlign val="baseline"/>
        <x:sz val="10"/>
        <x:color rgb="FF000000"/>
        <x:rFont val="Arial"/>
        <x:family val="2"/>
      </x:rPr>
      <x:t xml:space="preserve">Nghỉ lễ
</x:t>
    </x:r>
    <x:r>
      <x:rPr>
        <x:vertAlign val="baseline"/>
        <x:sz val="11"/>
        <x:color theme="1"/>
        <x:rFont val="Calibri"/>
        <x:family val="2"/>
      </x:rPr>
      <x:t>Public Holiday</x:t>
    </x:r>
  </x:si>
  <x:si>
    <x:t>kiều Tuấn Anh2</x:t>
  </x:si>
  <x:si>
    <x:t>duong anh</x:t>
  </x:si>
  <x:si>
    <x:t>123SF</x:t>
  </x:si>
  <x:si>
    <x:t>Ngô Tiến anh</x:t>
  </x:si>
  <x:si>
    <x:t>NAV1</x:t>
  </x:si>
  <x:si>
    <x:t>Phạm Công Hoan</x:t>
  </x:si>
  <x:si>
    <x:t>NV0054</x:t>
  </x:si>
  <x:si>
    <x:t>Vương Đình Toản</x:t>
  </x:si>
  <x:si>
    <x:t>NV0066</x:t>
  </x:si>
  <x:si>
    <x:t>Nguyễn Văn Trí</x:t>
  </x:si>
  <x:si>
    <x:t>NV0075</x:t>
  </x:si>
  <x:si>
    <x:t>Nguyễn Sĩ Hiệp</x:t>
  </x:si>
  <x:si>
    <x:t>NV0076</x:t>
  </x:si>
  <x:si>
    <x:t>Bùi Hoàng Nguyên</x:t>
  </x:si>
  <x:si>
    <x:t>NV0079</x:t>
  </x:si>
  <x:si>
    <x:t>Phan Văn Huy</x:t>
  </x:si>
  <x:si>
    <x:t>NV0080</x:t>
  </x:si>
  <x:si>
    <x:t>Phạm Khương Duy</x:t>
  </x:si>
  <x:si>
    <x:t>NV0083</x:t>
  </x:si>
  <x:si>
    <x:t>Đỗ Đức Quang</x:t>
  </x:si>
  <x:si>
    <x:t>NV0084</x:t>
  </x:si>
  <x:si>
    <x:t>Trần Phương Nam</x:t>
  </x:si>
  <x:si>
    <x:t>NV0092</x:t>
  </x:si>
  <x:si>
    <x:t>kiều Tuấn Bra</x:t>
  </x:si>
  <x:si>
    <x:t>NV009919</x:t>
  </x:si>
  <x:si>
    <x:t>Phạm Hồng Phi</x:t>
  </x:si>
  <x:si>
    <x:t>NV200098</x:t>
  </x:si>
  <x:si>
    <x:t>Lê Tuấn Anh</x:t>
  </x:si>
  <x:si>
    <x:t>NV0022</x:t>
  </x:si>
  <x:si>
    <x:t>Nguyễn Văn Minh</x:t>
  </x:si>
  <x:si>
    <x:t>NV0036</x:t>
  </x:si>
  <x:si>
    <x:t>Vũ Văn Sơn</x:t>
  </x:si>
  <x:si>
    <x:t>NV0071</x:t>
  </x:si>
  <x:si>
    <x:t>Lê Văn Cường</x:t>
  </x:si>
  <x:si>
    <x:t>NV0072</x:t>
  </x:si>
  <x:si>
    <x:t>Trần Bình Dương</x:t>
  </x:si>
  <x:si>
    <x:t>Vũ Duy Hùng</x:t>
  </x:si>
  <x:si>
    <x:t>Hoàng Thị Lý</x:t>
  </x:si>
  <x:si>
    <x:t>NV0043</x:t>
  </x:si>
  <x:si>
    <x:t>Nguyễn Quốc Hưng</x:t>
  </x:si>
  <x:si>
    <x:t>NV0052</x:t>
  </x:si>
  <x:si>
    <x:t>Hoàng Sơn Lâm</x:t>
  </x:si>
  <x:si>
    <x:t>NV0058</x:t>
  </x:si>
  <x:si>
    <x:t>Nguyễn Thế Hà</x:t>
  </x:si>
  <x:si>
    <x:t>NV0064</x:t>
  </x:si>
  <x:si>
    <x:t>Đinh Quang Tuấn</x:t>
  </x:si>
  <x:si>
    <x:t>NV0068</x:t>
  </x:si>
  <x:si>
    <x:t>Đặng Thị Hoài</x:t>
  </x:si>
  <x:si>
    <x:t>NV0073</x:t>
  </x:si>
  <x:si>
    <x:t>Dương Văn Phúc</x:t>
  </x:si>
  <x:si>
    <x:t>NV0078</x:t>
  </x:si>
  <x:si>
    <x:t>Trinh Thi Thu Trang</x:t>
  </x:si>
  <x:si>
    <x:t>NV0088</x:t>
  </x:si>
  <x:si>
    <x:t>Trần Văn Khương</x:t>
  </x:si>
  <x:si>
    <x:t>NV0089</x:t>
  </x:si>
  <x:si>
    <x:t>Phạm Quốc Lâm</x:t>
  </x:si>
  <x:si>
    <x:t>NV0110</x:t>
  </x:si>
  <x:si>
    <x:t>Nguyễn Thị Huyền Trang</x:t>
  </x:si>
  <x:si>
    <x:t>NV0041</x:t>
  </x:si>
  <x:si>
    <x:t>Nguyễn Thảo Nguyên</x:t>
  </x:si>
  <x:si>
    <x:t>NV0070</x:t>
  </x:si>
  <x:si>
    <x:t>Masaya Kohno</x:t>
  </x:si>
  <x:si>
    <x:t>NV0098</x:t>
  </x:si>
  <x:si>
    <x:t>Hirokazu Tanaka</x:t>
  </x:si>
  <x:si>
    <x:t>NV0099</x:t>
  </x:si>
  <x:si>
    <x:t>Phạm Trọng Hiếu</x:t>
  </x:si>
  <x:si>
    <x:t>NV0045</x:t>
  </x:si>
  <x:si>
    <x:t>Nguyễn Bảo Ngọc</x:t>
  </x:si>
  <x:si>
    <x:t>NV0046</x:t>
  </x:si>
  <x:si>
    <x:t>Vũ Văn Khu</x:t>
  </x:si>
  <x:si>
    <x:t>NV0057</x:t>
  </x:si>
  <x:si>
    <x:t>Đào Văn Vang</x:t>
  </x:si>
  <x:si>
    <x:t>NV0060</x:t>
  </x:si>
  <x:si>
    <x:t>Nguyễn Văn Đức</x:t>
  </x:si>
  <x:si>
    <x:t>NV0074</x:t>
  </x:si>
  <x:si>
    <x:t>Nguyễn Cao Khoa</x:t>
  </x:si>
  <x:si>
    <x:t>NV0077</x:t>
  </x:si>
  <x:si>
    <x:t>Lâm Trọng Đạt</x:t>
  </x:si>
  <x:si>
    <x:t>NV0085</x:t>
  </x:si>
  <x:si>
    <x:t>Nguyễn Đức An</x:t>
  </x:si>
  <x:si>
    <x:t>NV0086</x:t>
  </x:si>
  <x:si>
    <x:t>Dương Tất Minh</x:t>
  </x:si>
  <x:si>
    <x:t>NV0087</x:t>
  </x:si>
  <x:si>
    <x:t>Ưng Bình Sơn</x:t>
  </x:si>
  <x:si>
    <x:t>NV0090</x:t>
  </x:si>
  <x:si>
    <x:t>Nguyễn Xuân Thắng</x:t>
  </x:si>
  <x:si>
    <x:t>NV0091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</x:si>
</x:sst>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0;\-0;;@"/>
  </x:numFmts>
  <x:fonts count="12" x14ac:knownFonts="1">
    <x:font>
      <x:sz val="11"/>
      <x:color theme="1"/>
      <x:name val="Calibri"/>
      <x:scheme val="minor"/>
    </x:font>
    <x:font>
      <x:sz val="11"/>
      <x:color rgb="FF000000"/>
      <x:name val="Arial"/>
      <x:family val="2"/>
    </x:font>
    <x:font>
      <x:b/>
      <x:sz val="14"/>
      <x:color rgb="FF000000"/>
      <x:name val="Arial"/>
      <x:family val="2"/>
    </x:font>
    <x:font>
      <x:sz val="11"/>
      <x:color rgb="FFFF0000"/>
      <x:name val="Arial"/>
      <x:family val="2"/>
    </x:font>
    <x:font>
      <x:b/>
      <x:sz val="10"/>
      <x:color rgb="FF000000"/>
      <x:name val="Arial"/>
      <x:family val="2"/>
    </x:font>
    <x:font>
      <x:sz val="11"/>
      <x:name val="Calibri"/>
      <x:family val="2"/>
    </x:font>
    <x:font>
      <x:sz val="11"/>
      <x:color theme="1"/>
      <x:name val="Arial"/>
      <x:family val="2"/>
    </x:font>
    <x:font>
      <x:sz val="11"/>
      <x:color theme="1"/>
      <x:name val="Calibri"/>
      <x:family val="2"/>
    </x:font>
    <x:font>
      <x:b/>
      <x:sz val="11"/>
      <x:color theme="1"/>
      <x:name val="Calibri"/>
      <x:family val="2"/>
    </x:font>
    <x:font>
      <x:b/>
      <x:sz val="10"/>
      <x:color theme="1"/>
      <x:name val="Arial"/>
      <x:family val="2"/>
    </x:font>
    <x:font>
      <x:sz val="14"/>
      <x:color rgb="FF000000"/>
      <x:name val="Arial"/>
      <x:family val="2"/>
    </x:font>
    <x:font>
      <x:b/>
      <x:sz val="14"/>
      <x:color rgb="FF000000"/>
      <x:name val="Arial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BDD7EE"/>
        <x:bgColor rgb="FFBDD7EE"/>
      </x:patternFill>
    </x:fill>
    <x:fill>
      <x:patternFill patternType="solid">
        <x:fgColor rgb="FFFFFFFF"/>
        <x:bgColor rgb="FFFFFFFF"/>
      </x:patternFill>
    </x:fill>
    <x:fill>
      <x:patternFill patternType="solid">
        <x:fgColor rgb="FFDBE5E0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23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14" fontId="3" fillId="0" borderId="6" quotePrefix="1" applyNumberFormat="1" applyFill="1" applyBorder="1" applyAlignment="1" applyProtection="1">
      <x:protection locked="1" hidden="0"/>
    </x:xf>
    <x:xf numFmtId="3" fontId="1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2" applyNumberFormat="1" applyFill="0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0" fillId="2" borderId="9" applyNumberFormat="1" applyFill="0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0" fontId="4" fillId="2" borderId="6" applyNumberFormat="1" applyFill="0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9" applyNumberFormat="1" applyFill="1" applyBorder="1" applyAlignment="1" applyProtection="1">
      <x:protection locked="1" hidden="0"/>
    </x:xf>
    <x:xf numFmtId="0" fontId="6" fillId="3" borderId="6" applyNumberFormat="1" applyFill="0" applyBorder="1" applyAlignment="1" applyProtection="1">
      <x:protection locked="1" hidden="0"/>
    </x:xf>
    <x:xf numFmtId="164" fontId="6" fillId="3" borderId="6" applyNumberFormat="1" applyFill="0" applyBorder="1" applyAlignment="1" applyProtection="1">
      <x:protection locked="1" hidden="0"/>
    </x:xf>
    <x:xf numFmtId="0" fontId="6" fillId="4" borderId="6" applyNumberFormat="1" applyFill="0" applyBorder="1" applyAlignment="1" applyProtection="1">
      <x:protection locked="1" hidden="0"/>
    </x:xf>
    <x:xf numFmtId="164" fontId="6" fillId="4" borderId="6" applyNumberFormat="1" applyFill="0" applyBorder="1" applyAlignment="1" applyProtection="1">
      <x:protection locked="1" hidden="0"/>
    </x:xf>
    <x:xf numFmtId="0" fontId="6" fillId="0" borderId="6" applyNumberFormat="1" applyFill="1" applyBorder="1" applyAlignment="1" applyProtection="1">
      <x:protection locked="1" hidden="0"/>
    </x:xf>
    <x:xf numFmtId="164" fontId="6" fillId="0" borderId="6" applyNumberFormat="1" applyFill="1" applyBorder="1" applyAlignment="1" applyProtection="1">
      <x:protection locked="1" hidden="0"/>
    </x:xf>
    <x:xf numFmtId="0" fontId="0" fillId="3" borderId="8" applyNumberFormat="1" applyFill="0" applyBorder="1" applyAlignment="1" applyProtection="1">
      <x:protection locked="1" hidden="0"/>
    </x:xf>
  </x:cellStyleXfs>
  <x:cellXfs count="33">
    <x:xf numFmtId="0" fontId="0" fillId="0" borderId="0" xfId="0"/>
    <x:xf numFmtId="0" fontId="1" fillId="0" borderId="0" xfId="0" applyFont="1" applyAlignment="1">
      <x:alignment horizontal="center"/>
    </x:xf>
    <x:xf numFmtId="0" fontId="1" fillId="0" borderId="0" xfId="0" applyFont="1"/>
    <x:xf numFmtId="14" fontId="3" fillId="0" borderId="0" xfId="0" quotePrefix="1" applyNumberFormat="1" applyFont="1"/>
    <x:xf numFmtId="3" fontId="1" fillId="0" borderId="0" xfId="0" applyNumberFormat="1" applyFont="1"/>
    <x:xf numFmtId="0" fontId="4" fillId="2" borderId="6" xfId="0" applyFont="1" applyFill="1" applyBorder="1" applyAlignment="1">
      <x:alignment horizontal="center" vertical="center" wrapText="1"/>
    </x:xf>
    <x:xf numFmtId="0" fontId="6" fillId="0" borderId="5" xfId="0" applyFont="1" applyBorder="1"/>
    <x:xf numFmtId="0" fontId="6" fillId="0" borderId="7" xfId="0" applyFont="1" applyBorder="1"/>
    <x:xf numFmtId="0" fontId="6" fillId="0" borderId="9" xfId="0" applyFont="1" applyBorder="1"/>
    <x:xf numFmtId="0" fontId="0" fillId="3" borderId="8" xfId="0" applyFill="1" applyBorder="1"/>
    <x:xf numFmtId="0" fontId="6" fillId="0" borderId="6" xfId="0" applyFont="1" applyBorder="1"/>
    <x:xf numFmtId="164" fontId="6" fillId="0" borderId="6" xfId="0" applyNumberFormat="1" applyFont="1" applyBorder="1"/>
    <x:xf numFmtId="0" fontId="0" fillId="2" borderId="9" xfId="0" applyFill="1" applyBorder="1" applyAlignment="1">
      <x:alignment horizontal="center" vertical="center" wrapText="1"/>
    </x:xf>
    <x:xf numFmtId="0" fontId="11" fillId="0" borderId="0" xfId="0" applyFont="1" applyAlignment="1">
      <x:alignment horizontal="center" vertical="center" wrapText="1"/>
    </x:xf>
    <x:xf numFmtId="0" fontId="0" fillId="0" borderId="0" xfId="0"/>
    <x:xf numFmtId="0" fontId="4" fillId="2" borderId="1" xfId="0" applyFont="1" applyFill="1" applyBorder="1" applyAlignment="1">
      <x:alignment horizontal="center" vertical="center" wrapText="1"/>
    </x:xf>
    <x:xf numFmtId="0" fontId="5" fillId="0" borderId="5" xfId="0" applyFont="1" applyBorder="1"/>
    <x:xf numFmtId="0" fontId="0" fillId="2" borderId="1" xfId="0" applyFill="1" applyBorder="1" applyAlignment="1">
      <x:alignment horizontal="center" vertical="center" wrapText="1"/>
    </x:xf>
    <x:xf numFmtId="0" fontId="0" fillId="2" borderId="2" xfId="0" applyFill="1" applyBorder="1" applyAlignment="1">
      <x:alignment horizontal="center" vertical="center" wrapText="1"/>
    </x:xf>
    <x:xf numFmtId="0" fontId="5" fillId="0" borderId="3" xfId="0" applyFont="1" applyBorder="1"/>
    <x:xf numFmtId="0" fontId="5" fillId="0" borderId="4" xfId="0" applyFont="1" applyBorder="1"/>
    <x:xf numFmtId="0" fontId="2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3" fillId="0" borderId="6" xfId="0" quotePrefix="1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3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3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4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4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0006"/>
      </x:font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V943"/>
  <x:sheetViews>
    <x:sheetView tabSelected="1" workbookViewId="0">
      <x:selection activeCell="S6" sqref="S6"/>
    </x:sheetView>
  </x:sheetViews>
  <x:sheetFormatPr defaultColWidth="17.995781" defaultRowHeight="15" customHeight="1" x14ac:dyDescent="0.25"/>
  <x:cols>
    <x:col min="1" max="1" width="8.710938" style="0" customWidth="1"/>
    <x:col min="2" max="2" width="29" style="0" customWidth="1"/>
    <x:col min="3" max="4" width="14.855469" style="0" customWidth="1"/>
    <x:col min="5" max="12" width="13.710938" style="0" customWidth="1"/>
    <x:col min="13" max="13" width="15.140625" style="0" customWidth="1"/>
    <x:col min="14" max="15" width="15.140625" style="0" hidden="1" customWidth="1"/>
    <x:col min="16" max="18" width="17.285156" style="0" hidden="1" customWidth="1"/>
  </x:cols>
  <x:sheetData>
    <x:row r="1" spans="1:19" ht="43.5" customHeight="1" x14ac:dyDescent="0.25">
      <x:c r="A1" s="1" t="s"/>
      <x:c r="B1" s="21" t="s">
        <x:v>0</x:v>
      </x:c>
    </x:row>
    <x:row r="2" spans="1:19" x14ac:dyDescent="0.25">
      <x:c r="A2" s="1" t="s"/>
      <x:c r="B2" s="2" t="s"/>
      <x:c r="C2" s="22">
        <x:v>45797</x:v>
      </x:c>
      <x:c r="D2" s="22">
        <x:v>45827</x:v>
      </x:c>
      <x:c r="E2" s="4">
        <x:f>NETWORKDAYS($C$2,$D$2,0)</x:f>
      </x:c>
      <x:c r="F2" s="2" t="s"/>
      <x:c r="G2" s="2" t="s"/>
      <x:c r="H2" s="2" t="s"/>
      <x:c r="I2" s="2" t="s"/>
      <x:c r="J2" s="2" t="s"/>
      <x:c r="K2" s="2" t="s"/>
      <x:c r="L2" s="2" t="s"/>
    </x:row>
    <x:row r="3" spans="1:19" ht="37.5" customHeight="1" x14ac:dyDescent="0.25">
      <x:c r="A3" s="23" t="s">
        <x:v>1</x:v>
      </x:c>
      <x:c r="B3" s="24" t="s">
        <x:v>2</x:v>
      </x:c>
      <x:c r="C3" s="24" t="s">
        <x:v>3</x:v>
      </x:c>
      <x:c r="D3" s="23" t="s">
        <x:v>4</x:v>
      </x:c>
      <x:c r="E3" s="25" t="s">
        <x:v>5</x:v>
      </x:c>
      <x:c r="F3" s="19" t="s"/>
      <x:c r="G3" s="19" t="s"/>
      <x:c r="H3" s="20" t="s"/>
      <x:c r="I3" s="25" t="s">
        <x:v>6</x:v>
      </x:c>
      <x:c r="J3" s="19" t="s"/>
      <x:c r="K3" s="19" t="s"/>
      <x:c r="L3" s="19" t="s"/>
      <x:c r="M3" s="26" t="s">
        <x:v>7</x:v>
      </x:c>
    </x:row>
    <x:row r="4" spans="1:19" ht="60.75" customHeight="1" x14ac:dyDescent="0.25">
      <x:c r="A4" s="16" t="s"/>
      <x:c r="B4" s="16" t="s"/>
      <x:c r="C4" s="16" t="s"/>
      <x:c r="D4" s="16" t="s"/>
      <x:c r="E4" s="27" t="s">
        <x:v>8</x:v>
      </x:c>
      <x:c r="F4" s="27" t="s">
        <x:v>9</x:v>
      </x:c>
      <x:c r="G4" s="27" t="s">
        <x:v>10</x:v>
      </x:c>
      <x:c r="H4" s="27" t="s">
        <x:v>11</x:v>
      </x:c>
      <x:c r="I4" s="27" t="s">
        <x:v>12</x:v>
      </x:c>
      <x:c r="J4" s="27" t="s">
        <x:v>13</x:v>
      </x:c>
      <x:c r="K4" s="27" t="s">
        <x:v>14</x:v>
      </x:c>
      <x:c r="L4" s="27" t="s">
        <x:v>15</x:v>
      </x:c>
      <x:c r="M4" s="26" t="s"/>
    </x:row>
    <x:row r="5" spans="1:19" x14ac:dyDescent="0.25">
      <x:c r="A5" s="6" t="s"/>
      <x:c r="B5" s="7" t="s"/>
      <x:c r="C5" s="6" t="s"/>
      <x:c r="D5" s="6" t="n">
        <x:v>2</x:v>
      </x:c>
      <x:c r="E5" s="6" t="n">
        <x:v>3</x:v>
      </x:c>
      <x:c r="F5" s="6" t="n">
        <x:v>4</x:v>
      </x:c>
      <x:c r="G5" s="6" t="n">
        <x:v>5</x:v>
      </x:c>
      <x:c r="H5" s="6" t="n">
        <x:v>6</x:v>
      </x:c>
      <x:c r="I5" s="6" t="n">
        <x:v>7</x:v>
      </x:c>
      <x:c r="J5" s="6" t="n">
        <x:v>8</x:v>
      </x:c>
      <x:c r="K5" s="6" t="n">
        <x:v>9</x:v>
      </x:c>
      <x:c r="L5" s="6" t="n">
        <x:v>10</x:v>
      </x:c>
      <x:c r="M5" s="8" t="n">
        <x:v>11</x:v>
      </x:c>
    </x:row>
    <x:row r="6" spans="1:19" ht="15.75" customHeight="1" x14ac:dyDescent="0.25">
      <x:c r="A6" s="28" t="n">
        <x:v>1</x:v>
      </x:c>
      <x:c r="B6" s="28" t="s">
        <x:v>16</x:v>
      </x:c>
      <x:c r="C6" s="28" t="n">
        <x:v>1</x:v>
      </x:c>
      <x:c r="D6" s="28">
        <x:f>IF(N6=0,"",N6)</x:f>
      </x:c>
      <x:c r="E6" s="28">
        <x:f>IF(O6=0,"",O6)</x:f>
      </x:c>
      <x:c r="F6" s="28">
        <x:f>IF(P6=0,"",P6)</x:f>
      </x:c>
      <x:c r="G6" s="28">
        <x:f>IF(Q6=0,"",Q6)</x:f>
      </x:c>
      <x:c r="H6" s="28">
        <x:f>IF(R6=0,"",R6)</x:f>
      </x:c>
      <x:c r="I6" s="28" t="s"/>
      <x:c r="J6" s="28" t="s"/>
      <x:c r="K6" s="28" t="s"/>
      <x:c r="L6" s="28" t="s"/>
      <x:c r="M6" s="29">
        <x:f>IF(D6&lt;&gt;"",IFERROR(IF(D6=$E$2,"OK","NG"),""),"")</x:f>
      </x:c>
      <x:c r="N6" s="0">
        <x:f>SUM(O6:R6)</x:f>
      </x:c>
      <x:c r="O6" s="0">
        <x:f>I6/8</x:f>
      </x:c>
      <x:c r="P6" s="0">
        <x:f>J6/8</x:f>
      </x:c>
      <x:c r="Q6" s="0">
        <x:f>K6/8</x:f>
      </x:c>
      <x:c r="R6" s="0">
        <x:f>L6/8</x:f>
      </x:c>
    </x:row>
    <x:row r="7" spans="1:19" ht="15.75" customHeight="1" x14ac:dyDescent="0.25">
      <x:c r="A7" s="28" t="n">
        <x:v>2</x:v>
      </x:c>
      <x:c r="B7" s="28" t="s">
        <x:v>17</x:v>
      </x:c>
      <x:c r="C7" s="28" t="s">
        <x:v>18</x:v>
      </x:c>
      <x:c r="D7" s="28">
        <x:f>IF(N7=0,"",N7)</x:f>
      </x:c>
      <x:c r="E7" s="28">
        <x:f>IF(O7=0,"",O7)</x:f>
      </x:c>
      <x:c r="F7" s="28">
        <x:f>IF(P7=0,"",P7)</x:f>
      </x:c>
      <x:c r="G7" s="28">
        <x:f>IF(Q7=0,"",Q7)</x:f>
      </x:c>
      <x:c r="H7" s="28">
        <x:f>IF(R7=0,"",R7)</x:f>
      </x:c>
      <x:c r="I7" s="28" t="s"/>
      <x:c r="J7" s="28" t="s"/>
      <x:c r="K7" s="28" t="s"/>
      <x:c r="L7" s="28" t="s"/>
      <x:c r="M7" s="29">
        <x:f>IF(D7&lt;&gt;"",IFERROR(IF(D7=$E$2,"OK","NG"),""),"")</x:f>
      </x:c>
      <x:c r="N7" s="0">
        <x:f>SUM(O7:R7)</x:f>
      </x:c>
      <x:c r="O7" s="0">
        <x:f>I7/8</x:f>
      </x:c>
      <x:c r="P7" s="0">
        <x:f>J7/8</x:f>
      </x:c>
      <x:c r="Q7" s="0">
        <x:f>K7/8</x:f>
      </x:c>
      <x:c r="R7" s="0">
        <x:f>L7/8</x:f>
      </x:c>
    </x:row>
    <x:row r="8" spans="1:19" ht="15.75" customHeight="1" x14ac:dyDescent="0.25">
      <x:c r="A8" s="28" t="n">
        <x:v>3</x:v>
      </x:c>
      <x:c r="B8" s="28" t="s">
        <x:v>19</x:v>
      </x:c>
      <x:c r="C8" s="28" t="s">
        <x:v>20</x:v>
      </x:c>
      <x:c r="D8" s="28">
        <x:f>IF(N8=0,"",N8)</x:f>
      </x:c>
      <x:c r="E8" s="28">
        <x:f>IF(O8=0,"",O8)</x:f>
      </x:c>
      <x:c r="F8" s="28">
        <x:f>IF(P8=0,"",P8)</x:f>
      </x:c>
      <x:c r="G8" s="28">
        <x:f>IF(Q8=0,"",Q8)</x:f>
      </x:c>
      <x:c r="H8" s="28">
        <x:f>IF(R8=0,"",R8)</x:f>
      </x:c>
      <x:c r="I8" s="28" t="s"/>
      <x:c r="J8" s="28" t="s"/>
      <x:c r="K8" s="28" t="s"/>
      <x:c r="L8" s="28" t="s"/>
      <x:c r="M8" s="29">
        <x:f>IF(D8&lt;&gt;"",IFERROR(IF(D8=$E$2,"OK","NG"),""),"")</x:f>
      </x:c>
      <x:c r="N8" s="0">
        <x:f>SUM(O8:R8)</x:f>
      </x:c>
      <x:c r="O8" s="0">
        <x:f>I8/8</x:f>
      </x:c>
      <x:c r="P8" s="0">
        <x:f>J8/8</x:f>
      </x:c>
      <x:c r="Q8" s="0">
        <x:f>K8/8</x:f>
      </x:c>
      <x:c r="R8" s="0">
        <x:f>L8/8</x:f>
      </x:c>
    </x:row>
    <x:row r="9" spans="1:19" ht="15.75" customHeight="1" x14ac:dyDescent="0.25">
      <x:c r="A9" s="28" t="n">
        <x:v>4</x:v>
      </x:c>
      <x:c r="B9" s="28" t="s">
        <x:v>21</x:v>
      </x:c>
      <x:c r="C9" s="28" t="s">
        <x:v>22</x:v>
      </x:c>
      <x:c r="D9" s="28">
        <x:f>IF(N9=0,"",N9)</x:f>
      </x:c>
      <x:c r="E9" s="28">
        <x:f>IF(O9=0,"",O9)</x:f>
      </x:c>
      <x:c r="F9" s="28">
        <x:f>IF(P9=0,"",P9)</x:f>
      </x:c>
      <x:c r="G9" s="28">
        <x:f>IF(Q9=0,"",Q9)</x:f>
      </x:c>
      <x:c r="H9" s="28">
        <x:f>IF(R9=0,"",R9)</x:f>
      </x:c>
      <x:c r="I9" s="28" t="s"/>
      <x:c r="J9" s="28" t="s"/>
      <x:c r="K9" s="28" t="s"/>
      <x:c r="L9" s="28" t="s"/>
      <x:c r="M9" s="29">
        <x:f>IF(D9&lt;&gt;"",IFERROR(IF(D9=$E$2,"OK","NG"),""),"")</x:f>
      </x:c>
      <x:c r="N9" s="0">
        <x:f>SUM(O9:R9)</x:f>
      </x:c>
      <x:c r="O9" s="0">
        <x:f>I9/8</x:f>
      </x:c>
      <x:c r="P9" s="0">
        <x:f>J9/8</x:f>
      </x:c>
      <x:c r="Q9" s="0">
        <x:f>K9/8</x:f>
      </x:c>
      <x:c r="R9" s="0">
        <x:f>L9/8</x:f>
      </x:c>
    </x:row>
    <x:row r="10" spans="1:19" ht="15.75" customHeight="1" x14ac:dyDescent="0.25">
      <x:c r="A10" s="28" t="n">
        <x:v>5</x:v>
      </x:c>
      <x:c r="B10" s="28" t="s">
        <x:v>23</x:v>
      </x:c>
      <x:c r="C10" s="28" t="s">
        <x:v>24</x:v>
      </x:c>
      <x:c r="D10" s="28">
        <x:f>IF(N10=0,"",N10)</x:f>
      </x:c>
      <x:c r="E10" s="28">
        <x:f>IF(O10=0,"",O10)</x:f>
      </x:c>
      <x:c r="F10" s="28">
        <x:f>IF(P10=0,"",P10)</x:f>
      </x:c>
      <x:c r="G10" s="28">
        <x:f>IF(Q10=0,"",Q10)</x:f>
      </x:c>
      <x:c r="H10" s="28">
        <x:f>IF(R10=0,"",R10)</x:f>
      </x:c>
      <x:c r="I10" s="28" t="s"/>
      <x:c r="J10" s="28" t="s"/>
      <x:c r="K10" s="28" t="s"/>
      <x:c r="L10" s="28" t="s"/>
      <x:c r="M10" s="29">
        <x:f>IF(D10&lt;&gt;"",IFERROR(IF(D10=$E$2,"OK","NG"),""),"")</x:f>
      </x:c>
      <x:c r="N10" s="0">
        <x:f>SUM(O10:R10)</x:f>
      </x:c>
      <x:c r="O10" s="0">
        <x:f>I10/8</x:f>
      </x:c>
      <x:c r="P10" s="0">
        <x:f>J10/8</x:f>
      </x:c>
      <x:c r="Q10" s="0">
        <x:f>K10/8</x:f>
      </x:c>
      <x:c r="R10" s="0">
        <x:f>L10/8</x:f>
      </x:c>
    </x:row>
    <x:row r="11" spans="1:19" ht="15.75" customHeight="1" x14ac:dyDescent="0.25">
      <x:c r="A11" s="28" t="n">
        <x:v>6</x:v>
      </x:c>
      <x:c r="B11" s="28" t="s">
        <x:v>25</x:v>
      </x:c>
      <x:c r="C11" s="28" t="s">
        <x:v>26</x:v>
      </x:c>
      <x:c r="D11" s="28">
        <x:f>IF(N11=0,"",N11)</x:f>
      </x:c>
      <x:c r="E11" s="28">
        <x:f>IF(O11=0,"",O11)</x:f>
      </x:c>
      <x:c r="F11" s="28">
        <x:f>IF(P11=0,"",P11)</x:f>
      </x:c>
      <x:c r="G11" s="28">
        <x:f>IF(Q11=0,"",Q11)</x:f>
      </x:c>
      <x:c r="H11" s="28">
        <x:f>IF(R11=0,"",R11)</x:f>
      </x:c>
      <x:c r="I11" s="28" t="s"/>
      <x:c r="J11" s="28" t="s"/>
      <x:c r="K11" s="28" t="s"/>
      <x:c r="L11" s="28" t="s"/>
      <x:c r="M11" s="29">
        <x:f>IF(D11&lt;&gt;"",IFERROR(IF(D11=$E$2,"OK","NG"),""),"")</x:f>
      </x:c>
      <x:c r="N11" s="0">
        <x:f>SUM(O11:R11)</x:f>
      </x:c>
      <x:c r="O11" s="0">
        <x:f>I11/8</x:f>
      </x:c>
      <x:c r="P11" s="0">
        <x:f>J11/8</x:f>
      </x:c>
      <x:c r="Q11" s="0">
        <x:f>K11/8</x:f>
      </x:c>
      <x:c r="R11" s="0">
        <x:f>L11/8</x:f>
      </x:c>
    </x:row>
    <x:row r="12" spans="1:19" ht="15.75" customHeight="1" x14ac:dyDescent="0.25">
      <x:c r="A12" s="28" t="n">
        <x:v>7</x:v>
      </x:c>
      <x:c r="B12" s="28" t="s">
        <x:v>27</x:v>
      </x:c>
      <x:c r="C12" s="28" t="s">
        <x:v>28</x:v>
      </x:c>
      <x:c r="D12" s="28">
        <x:f>IF(N12=0,"",N12)</x:f>
      </x:c>
      <x:c r="E12" s="28">
        <x:f>IF(O12=0,"",O12)</x:f>
      </x:c>
      <x:c r="F12" s="28">
        <x:f>IF(P12=0,"",P12)</x:f>
      </x:c>
      <x:c r="G12" s="28">
        <x:f>IF(Q12=0,"",Q12)</x:f>
      </x:c>
      <x:c r="H12" s="28">
        <x:f>IF(R12=0,"",R12)</x:f>
      </x:c>
      <x:c r="I12" s="28" t="n">
        <x:v>4</x:v>
      </x:c>
      <x:c r="J12" s="28" t="s"/>
      <x:c r="K12" s="28" t="s"/>
      <x:c r="L12" s="28" t="s"/>
      <x:c r="M12" s="29">
        <x:f>IF(D12&lt;&gt;"",IFERROR(IF(D12=$E$2,"OK","NG"),""),"")</x:f>
      </x:c>
      <x:c r="N12" s="0">
        <x:f>SUM(O12:R12)</x:f>
      </x:c>
      <x:c r="O12" s="0">
        <x:f>I12/8</x:f>
      </x:c>
      <x:c r="P12" s="0">
        <x:f>J12/8</x:f>
      </x:c>
      <x:c r="Q12" s="0">
        <x:f>K12/8</x:f>
      </x:c>
      <x:c r="R12" s="0">
        <x:f>L12/8</x:f>
      </x:c>
    </x:row>
    <x:row r="13" spans="1:19" ht="15.75" customHeight="1" x14ac:dyDescent="0.25">
      <x:c r="A13" s="28" t="n">
        <x:v>8</x:v>
      </x:c>
      <x:c r="B13" s="28" t="s">
        <x:v>29</x:v>
      </x:c>
      <x:c r="C13" s="28" t="s">
        <x:v>30</x:v>
      </x:c>
      <x:c r="D13" s="28">
        <x:f>IF(N13=0,"",N13)</x:f>
      </x:c>
      <x:c r="E13" s="28">
        <x:f>IF(O13=0,"",O13)</x:f>
      </x:c>
      <x:c r="F13" s="28">
        <x:f>IF(P13=0,"",P13)</x:f>
      </x:c>
      <x:c r="G13" s="28">
        <x:f>IF(Q13=0,"",Q13)</x:f>
      </x:c>
      <x:c r="H13" s="28">
        <x:f>IF(R13=0,"",R13)</x:f>
      </x:c>
      <x:c r="I13" s="28" t="s"/>
      <x:c r="J13" s="28" t="s"/>
      <x:c r="K13" s="28" t="s"/>
      <x:c r="L13" s="28" t="s"/>
      <x:c r="M13" s="29">
        <x:f>IF(D13&lt;&gt;"",IFERROR(IF(D13=$E$2,"OK","NG"),""),"")</x:f>
      </x:c>
      <x:c r="N13" s="0">
        <x:f>SUM(O13:R13)</x:f>
      </x:c>
      <x:c r="O13" s="0">
        <x:f>I13/8</x:f>
      </x:c>
      <x:c r="P13" s="0">
        <x:f>J13/8</x:f>
      </x:c>
      <x:c r="Q13" s="0">
        <x:f>K13/8</x:f>
      </x:c>
      <x:c r="R13" s="0">
        <x:f>L13/8</x:f>
      </x:c>
    </x:row>
    <x:row r="14" spans="1:19" ht="15.75" customHeight="1" x14ac:dyDescent="0.25">
      <x:c r="A14" s="28" t="n">
        <x:v>9</x:v>
      </x:c>
      <x:c r="B14" s="28" t="s">
        <x:v>31</x:v>
      </x:c>
      <x:c r="C14" s="28" t="s">
        <x:v>32</x:v>
      </x:c>
      <x:c r="D14" s="28">
        <x:f>IF(N14=0,"",N14)</x:f>
      </x:c>
      <x:c r="E14" s="28">
        <x:f>IF(O14=0,"",O14)</x:f>
      </x:c>
      <x:c r="F14" s="28">
        <x:f>IF(P14=0,"",P14)</x:f>
      </x:c>
      <x:c r="G14" s="28">
        <x:f>IF(Q14=0,"",Q14)</x:f>
      </x:c>
      <x:c r="H14" s="28">
        <x:f>IF(R14=0,"",R14)</x:f>
      </x:c>
      <x:c r="I14" s="28" t="s"/>
      <x:c r="J14" s="28" t="s"/>
      <x:c r="K14" s="28" t="s"/>
      <x:c r="L14" s="28" t="s"/>
      <x:c r="M14" s="29">
        <x:f>IF(D14&lt;&gt;"",IFERROR(IF(D14=$E$2,"OK","NG"),""),"")</x:f>
      </x:c>
      <x:c r="N14" s="0">
        <x:f>SUM(O14:R14)</x:f>
      </x:c>
      <x:c r="O14" s="0">
        <x:f>I14/8</x:f>
      </x:c>
      <x:c r="P14" s="0">
        <x:f>J14/8</x:f>
      </x:c>
      <x:c r="Q14" s="0">
        <x:f>K14/8</x:f>
      </x:c>
      <x:c r="R14" s="0">
        <x:f>L14/8</x:f>
      </x:c>
    </x:row>
    <x:row r="15" spans="1:19" ht="15.75" customHeight="1" x14ac:dyDescent="0.25">
      <x:c r="A15" s="28" t="n">
        <x:v>10</x:v>
      </x:c>
      <x:c r="B15" s="28" t="s">
        <x:v>33</x:v>
      </x:c>
      <x:c r="C15" s="28" t="s">
        <x:v>34</x:v>
      </x:c>
      <x:c r="D15" s="28">
        <x:f>IF(N15=0,"",N15)</x:f>
      </x:c>
      <x:c r="E15" s="28">
        <x:f>IF(O15=0,"",O15)</x:f>
      </x:c>
      <x:c r="F15" s="28">
        <x:f>IF(P15=0,"",P15)</x:f>
      </x:c>
      <x:c r="G15" s="28">
        <x:f>IF(Q15=0,"",Q15)</x:f>
      </x:c>
      <x:c r="H15" s="28">
        <x:f>IF(R15=0,"",R15)</x:f>
      </x:c>
      <x:c r="I15" s="28" t="s"/>
      <x:c r="J15" s="28" t="s"/>
      <x:c r="K15" s="28" t="s"/>
      <x:c r="L15" s="28" t="s"/>
      <x:c r="M15" s="29">
        <x:f>IF(D15&lt;&gt;"",IFERROR(IF(D15=$E$2,"OK","NG"),""),"")</x:f>
      </x:c>
      <x:c r="N15" s="0">
        <x:f>SUM(O15:R15)</x:f>
      </x:c>
      <x:c r="O15" s="0">
        <x:f>I15/8</x:f>
      </x:c>
      <x:c r="P15" s="0">
        <x:f>J15/8</x:f>
      </x:c>
      <x:c r="Q15" s="0">
        <x:f>K15/8</x:f>
      </x:c>
      <x:c r="R15" s="0">
        <x:f>L15/8</x:f>
      </x:c>
    </x:row>
    <x:row r="16" spans="1:19" ht="15.75" customHeight="1" x14ac:dyDescent="0.25">
      <x:c r="A16" s="28" t="n">
        <x:v>11</x:v>
      </x:c>
      <x:c r="B16" s="28" t="s">
        <x:v>35</x:v>
      </x:c>
      <x:c r="C16" s="28" t="s">
        <x:v>36</x:v>
      </x:c>
      <x:c r="D16" s="28">
        <x:f>IF(N16=0,"",N16)</x:f>
      </x:c>
      <x:c r="E16" s="28">
        <x:f>IF(O16=0,"",O16)</x:f>
      </x:c>
      <x:c r="F16" s="28">
        <x:f>IF(P16=0,"",P16)</x:f>
      </x:c>
      <x:c r="G16" s="28">
        <x:f>IF(Q16=0,"",Q16)</x:f>
      </x:c>
      <x:c r="H16" s="28">
        <x:f>IF(R16=0,"",R16)</x:f>
      </x:c>
      <x:c r="I16" s="28" t="s"/>
      <x:c r="J16" s="28" t="s"/>
      <x:c r="K16" s="28" t="s"/>
      <x:c r="L16" s="28" t="s"/>
      <x:c r="M16" s="29">
        <x:f>IF(D16&lt;&gt;"",IFERROR(IF(D16=$E$2,"OK","NG"),""),"")</x:f>
      </x:c>
      <x:c r="N16" s="0">
        <x:f>SUM(O16:R16)</x:f>
      </x:c>
      <x:c r="O16" s="0">
        <x:f>I16/8</x:f>
      </x:c>
      <x:c r="P16" s="0">
        <x:f>J16/8</x:f>
      </x:c>
      <x:c r="Q16" s="0">
        <x:f>K16/8</x:f>
      </x:c>
      <x:c r="R16" s="0">
        <x:f>L16/8</x:f>
      </x:c>
    </x:row>
    <x:row r="17" spans="1:19" ht="15.75" customHeight="1" x14ac:dyDescent="0.25">
      <x:c r="A17" s="28" t="n">
        <x:v>12</x:v>
      </x:c>
      <x:c r="B17" s="28" t="s">
        <x:v>37</x:v>
      </x:c>
      <x:c r="C17" s="28" t="s">
        <x:v>38</x:v>
      </x:c>
      <x:c r="D17" s="28">
        <x:f>IF(N17=0,"",N17)</x:f>
      </x:c>
      <x:c r="E17" s="28">
        <x:f>IF(O17=0,"",O17)</x:f>
      </x:c>
      <x:c r="F17" s="28">
        <x:f>IF(P17=0,"",P17)</x:f>
      </x:c>
      <x:c r="G17" s="28">
        <x:f>IF(Q17=0,"",Q17)</x:f>
      </x:c>
      <x:c r="H17" s="28">
        <x:f>IF(R17=0,"",R17)</x:f>
      </x:c>
      <x:c r="I17" s="28" t="s"/>
      <x:c r="J17" s="28" t="s"/>
      <x:c r="K17" s="28" t="s"/>
      <x:c r="L17" s="28" t="s"/>
      <x:c r="M17" s="29">
        <x:f>IF(D17&lt;&gt;"",IFERROR(IF(D17=$E$2,"OK","NG"),""),"")</x:f>
      </x:c>
      <x:c r="N17" s="0">
        <x:f>SUM(O17:R17)</x:f>
      </x:c>
      <x:c r="O17" s="0">
        <x:f>I17/8</x:f>
      </x:c>
      <x:c r="P17" s="0">
        <x:f>J17/8</x:f>
      </x:c>
      <x:c r="Q17" s="0">
        <x:f>K17/8</x:f>
      </x:c>
      <x:c r="R17" s="0">
        <x:f>L17/8</x:f>
      </x:c>
    </x:row>
    <x:row r="18" spans="1:19" ht="15.75" customHeight="1" x14ac:dyDescent="0.25">
      <x:c r="A18" s="28" t="n">
        <x:v>13</x:v>
      </x:c>
      <x:c r="B18" s="28" t="s">
        <x:v>39</x:v>
      </x:c>
      <x:c r="C18" s="28" t="s">
        <x:v>40</x:v>
      </x:c>
      <x:c r="D18" s="28">
        <x:f>IF(N18=0,"",N18)</x:f>
      </x:c>
      <x:c r="E18" s="28">
        <x:f>IF(O18=0,"",O18)</x:f>
      </x:c>
      <x:c r="F18" s="28">
        <x:f>IF(P18=0,"",P18)</x:f>
      </x:c>
      <x:c r="G18" s="28">
        <x:f>IF(Q18=0,"",Q18)</x:f>
      </x:c>
      <x:c r="H18" s="28">
        <x:f>IF(R18=0,"",R18)</x:f>
      </x:c>
      <x:c r="I18" s="28" t="s"/>
      <x:c r="J18" s="28" t="s"/>
      <x:c r="K18" s="28" t="s"/>
      <x:c r="L18" s="28" t="s"/>
      <x:c r="M18" s="29">
        <x:f>IF(D18&lt;&gt;"",IFERROR(IF(D18=$E$2,"OK","NG"),""),"")</x:f>
      </x:c>
      <x:c r="N18" s="0">
        <x:f>SUM(O18:R18)</x:f>
      </x:c>
      <x:c r="O18" s="0">
        <x:f>I18/8</x:f>
      </x:c>
      <x:c r="P18" s="0">
        <x:f>J18/8</x:f>
      </x:c>
      <x:c r="Q18" s="0">
        <x:f>K18/8</x:f>
      </x:c>
      <x:c r="R18" s="0">
        <x:f>L18/8</x:f>
      </x:c>
    </x:row>
    <x:row r="19" spans="1:19" ht="15.75" customHeight="1" x14ac:dyDescent="0.25">
      <x:c r="A19" s="28" t="n">
        <x:v>14</x:v>
      </x:c>
      <x:c r="B19" s="28" t="s">
        <x:v>41</x:v>
      </x:c>
      <x:c r="C19" s="28" t="s">
        <x:v>42</x:v>
      </x:c>
      <x:c r="D19" s="28">
        <x:f>IF(N19=0,"",N19)</x:f>
      </x:c>
      <x:c r="E19" s="28">
        <x:f>IF(O19=0,"",O19)</x:f>
      </x:c>
      <x:c r="F19" s="28">
        <x:f>IF(P19=0,"",P19)</x:f>
      </x:c>
      <x:c r="G19" s="28">
        <x:f>IF(Q19=0,"",Q19)</x:f>
      </x:c>
      <x:c r="H19" s="28">
        <x:f>IF(R19=0,"",R19)</x:f>
      </x:c>
      <x:c r="I19" s="28" t="s"/>
      <x:c r="J19" s="28" t="s"/>
      <x:c r="K19" s="28" t="s"/>
      <x:c r="L19" s="28" t="s"/>
      <x:c r="M19" s="29">
        <x:f>IF(D19&lt;&gt;"",IFERROR(IF(D19=$E$2,"OK","NG"),""),"")</x:f>
      </x:c>
      <x:c r="N19" s="0">
        <x:f>SUM(O19:R19)</x:f>
      </x:c>
      <x:c r="O19" s="0">
        <x:f>I19/8</x:f>
      </x:c>
      <x:c r="P19" s="0">
        <x:f>J19/8</x:f>
      </x:c>
      <x:c r="Q19" s="0">
        <x:f>K19/8</x:f>
      </x:c>
      <x:c r="R19" s="0">
        <x:f>L19/8</x:f>
      </x:c>
    </x:row>
    <x:row r="20" spans="1:19" ht="15.75" customHeight="1" x14ac:dyDescent="0.25">
      <x:c r="A20" s="30" t="n">
        <x:v>15</x:v>
      </x:c>
      <x:c r="B20" s="30" t="s">
        <x:v>43</x:v>
      </x:c>
      <x:c r="C20" s="30" t="s">
        <x:v>44</x:v>
      </x:c>
      <x:c r="D20" s="30">
        <x:f>IF(N20=0,"",N20)</x:f>
      </x:c>
      <x:c r="E20" s="30">
        <x:f>IF(O20=0,"",O20)</x:f>
      </x:c>
      <x:c r="F20" s="30">
        <x:f>IF(P20=0,"",P20)</x:f>
      </x:c>
      <x:c r="G20" s="30">
        <x:f>IF(Q20=0,"",Q20)</x:f>
      </x:c>
      <x:c r="H20" s="30">
        <x:f>IF(R20=0,"",R20)</x:f>
      </x:c>
      <x:c r="I20" s="30" t="s"/>
      <x:c r="J20" s="30" t="s"/>
      <x:c r="K20" s="30" t="s"/>
      <x:c r="L20" s="30" t="s"/>
      <x:c r="M20" s="31">
        <x:f>IF(D20&lt;&gt;"",IFERROR(IF(D20=$E$2,"OK","NG"),""),"")</x:f>
      </x:c>
      <x:c r="N20" s="0">
        <x:f>SUM(O20:R20)</x:f>
      </x:c>
      <x:c r="O20" s="0">
        <x:f>I20/8</x:f>
      </x:c>
      <x:c r="P20" s="0">
        <x:f>J20/8</x:f>
      </x:c>
      <x:c r="Q20" s="0">
        <x:f>K20/8</x:f>
      </x:c>
      <x:c r="R20" s="0">
        <x:f>L20/8</x:f>
      </x:c>
    </x:row>
    <x:row r="21" spans="1:19" ht="15.75" customHeight="1" x14ac:dyDescent="0.25">
      <x:c r="A21" s="30" t="n">
        <x:v>16</x:v>
      </x:c>
      <x:c r="B21" s="30" t="s">
        <x:v>45</x:v>
      </x:c>
      <x:c r="C21" s="30" t="s">
        <x:v>46</x:v>
      </x:c>
      <x:c r="D21" s="30">
        <x:f>IF(N21=0,"",N21)</x:f>
      </x:c>
      <x:c r="E21" s="30">
        <x:f>IF(O21=0,"",O21)</x:f>
      </x:c>
      <x:c r="F21" s="30">
        <x:f>IF(P21=0,"",P21)</x:f>
      </x:c>
      <x:c r="G21" s="30">
        <x:f>IF(Q21=0,"",Q21)</x:f>
      </x:c>
      <x:c r="H21" s="30">
        <x:f>IF(R21=0,"",R21)</x:f>
      </x:c>
      <x:c r="I21" s="30" t="s"/>
      <x:c r="J21" s="30" t="s"/>
      <x:c r="K21" s="30" t="s"/>
      <x:c r="L21" s="30" t="s"/>
      <x:c r="M21" s="31">
        <x:f>IF(D21&lt;&gt;"",IFERROR(IF(D21=$E$2,"OK","NG"),""),"")</x:f>
      </x:c>
      <x:c r="N21" s="0">
        <x:f>SUM(O21:R21)</x:f>
      </x:c>
      <x:c r="O21" s="0">
        <x:f>I21/8</x:f>
      </x:c>
      <x:c r="P21" s="0">
        <x:f>J21/8</x:f>
      </x:c>
      <x:c r="Q21" s="0">
        <x:f>K21/8</x:f>
      </x:c>
      <x:c r="R21" s="0">
        <x:f>L21/8</x:f>
      </x:c>
    </x:row>
    <x:row r="22" spans="1:19" ht="15.75" customHeight="1" x14ac:dyDescent="0.25">
      <x:c r="A22" s="30" t="n">
        <x:v>17</x:v>
      </x:c>
      <x:c r="B22" s="30" t="s">
        <x:v>47</x:v>
      </x:c>
      <x:c r="C22" s="30" t="s">
        <x:v>48</x:v>
      </x:c>
      <x:c r="D22" s="30">
        <x:f>IF(N22=0,"",N22)</x:f>
      </x:c>
      <x:c r="E22" s="30">
        <x:f>IF(O22=0,"",O22)</x:f>
      </x:c>
      <x:c r="F22" s="30">
        <x:f>IF(P22=0,"",P22)</x:f>
      </x:c>
      <x:c r="G22" s="30">
        <x:f>IF(Q22=0,"",Q22)</x:f>
      </x:c>
      <x:c r="H22" s="30">
        <x:f>IF(R22=0,"",R22)</x:f>
      </x:c>
      <x:c r="I22" s="30" t="s"/>
      <x:c r="J22" s="30" t="s"/>
      <x:c r="K22" s="30" t="s"/>
      <x:c r="L22" s="30" t="s"/>
      <x:c r="M22" s="31">
        <x:f>IF(D22&lt;&gt;"",IFERROR(IF(D22=$E$2,"OK","NG"),""),"")</x:f>
      </x:c>
      <x:c r="N22" s="0">
        <x:f>SUM(O22:R22)</x:f>
      </x:c>
      <x:c r="O22" s="0">
        <x:f>I22/8</x:f>
      </x:c>
      <x:c r="P22" s="0">
        <x:f>J22/8</x:f>
      </x:c>
      <x:c r="Q22" s="0">
        <x:f>K22/8</x:f>
      </x:c>
      <x:c r="R22" s="0">
        <x:f>L22/8</x:f>
      </x:c>
    </x:row>
    <x:row r="23" spans="1:19" ht="15.75" customHeight="1" x14ac:dyDescent="0.25">
      <x:c r="A23" s="30" t="n">
        <x:v>18</x:v>
      </x:c>
      <x:c r="B23" s="30" t="s">
        <x:v>49</x:v>
      </x:c>
      <x:c r="C23" s="30" t="s">
        <x:v>50</x:v>
      </x:c>
      <x:c r="D23" s="30">
        <x:f>IF(N23=0,"",N23)</x:f>
      </x:c>
      <x:c r="E23" s="30">
        <x:f>IF(O23=0,"",O23)</x:f>
      </x:c>
      <x:c r="F23" s="30">
        <x:f>IF(P23=0,"",P23)</x:f>
      </x:c>
      <x:c r="G23" s="30">
        <x:f>IF(Q23=0,"",Q23)</x:f>
      </x:c>
      <x:c r="H23" s="30">
        <x:f>IF(R23=0,"",R23)</x:f>
      </x:c>
      <x:c r="I23" s="30" t="s"/>
      <x:c r="J23" s="30" t="s"/>
      <x:c r="K23" s="30" t="s"/>
      <x:c r="L23" s="30" t="s"/>
      <x:c r="M23" s="31">
        <x:f>IF(D23&lt;&gt;"",IFERROR(IF(D23=$E$2,"OK","NG"),""),"")</x:f>
      </x:c>
      <x:c r="N23" s="0">
        <x:f>SUM(O23:R23)</x:f>
      </x:c>
      <x:c r="O23" s="0">
        <x:f>I23/8</x:f>
      </x:c>
      <x:c r="P23" s="0">
        <x:f>J23/8</x:f>
      </x:c>
      <x:c r="Q23" s="0">
        <x:f>K23/8</x:f>
      </x:c>
      <x:c r="R23" s="0">
        <x:f>L23/8</x:f>
      </x:c>
    </x:row>
    <x:row r="24" spans="1:19" ht="15.75" customHeight="1" x14ac:dyDescent="0.25">
      <x:c r="A24" s="28" t="n">
        <x:v>19</x:v>
      </x:c>
      <x:c r="B24" s="28" t="s">
        <x:v>43</x:v>
      </x:c>
      <x:c r="C24" s="28" t="n">
        <x:v>2000</x:v>
      </x:c>
      <x:c r="D24" s="28">
        <x:f>IF(N24=0,"",N24)</x:f>
      </x:c>
      <x:c r="E24" s="28">
        <x:f>IF(O24=0,"",O24)</x:f>
      </x:c>
      <x:c r="F24" s="28">
        <x:f>IF(P24=0,"",P24)</x:f>
      </x:c>
      <x:c r="G24" s="28">
        <x:f>IF(Q24=0,"",Q24)</x:f>
      </x:c>
      <x:c r="H24" s="28">
        <x:f>IF(R24=0,"",R24)</x:f>
      </x:c>
      <x:c r="I24" s="28" t="s"/>
      <x:c r="J24" s="28" t="s"/>
      <x:c r="K24" s="28" t="s"/>
      <x:c r="L24" s="28" t="s"/>
      <x:c r="M24" s="29">
        <x:f>IF(D24&lt;&gt;"",IFERROR(IF(D24=$E$2,"OK","NG"),""),"")</x:f>
      </x:c>
      <x:c r="N24" s="0">
        <x:f>SUM(O24:R24)</x:f>
      </x:c>
      <x:c r="O24" s="0">
        <x:f>I24/8</x:f>
      </x:c>
      <x:c r="P24" s="0">
        <x:f>J24/8</x:f>
      </x:c>
      <x:c r="Q24" s="0">
        <x:f>K24/8</x:f>
      </x:c>
      <x:c r="R24" s="0">
        <x:f>L24/8</x:f>
      </x:c>
    </x:row>
    <x:row r="25" spans="1:19" ht="15.75" customHeight="1" x14ac:dyDescent="0.25">
      <x:c r="A25" s="28" t="n">
        <x:v>20</x:v>
      </x:c>
      <x:c r="B25" s="28" t="s">
        <x:v>51</x:v>
      </x:c>
      <x:c r="C25" s="28" t="n">
        <x:v>2001</x:v>
      </x:c>
      <x:c r="D25" s="28">
        <x:f>IF(N25=0,"",N25)</x:f>
      </x:c>
      <x:c r="E25" s="28">
        <x:f>IF(O25=0,"",O25)</x:f>
      </x:c>
      <x:c r="F25" s="28">
        <x:f>IF(P25=0,"",P25)</x:f>
      </x:c>
      <x:c r="G25" s="28">
        <x:f>IF(Q25=0,"",Q25)</x:f>
      </x:c>
      <x:c r="H25" s="28">
        <x:f>IF(R25=0,"",R25)</x:f>
      </x:c>
      <x:c r="I25" s="28" t="s"/>
      <x:c r="J25" s="28" t="s"/>
      <x:c r="K25" s="28" t="s"/>
      <x:c r="L25" s="28" t="s"/>
      <x:c r="M25" s="29">
        <x:f>IF(D25&lt;&gt;"",IFERROR(IF(D25=$E$2,"OK","NG"),""),"")</x:f>
      </x:c>
      <x:c r="N25" s="0">
        <x:f>SUM(O25:R25)</x:f>
      </x:c>
      <x:c r="O25" s="0">
        <x:f>I25/8</x:f>
      </x:c>
      <x:c r="P25" s="0">
        <x:f>J25/8</x:f>
      </x:c>
      <x:c r="Q25" s="0">
        <x:f>K25/8</x:f>
      </x:c>
      <x:c r="R25" s="0">
        <x:f>L25/8</x:f>
      </x:c>
    </x:row>
    <x:row r="26" spans="1:19" ht="15.75" customHeight="1" x14ac:dyDescent="0.25">
      <x:c r="A26" s="28" t="n">
        <x:v>21</x:v>
      </x:c>
      <x:c r="B26" s="28" t="s">
        <x:v>52</x:v>
      </x:c>
      <x:c r="C26" s="28" t="n">
        <x:v>3011</x:v>
      </x:c>
      <x:c r="D26" s="28">
        <x:f>IF(N26=0,"",N26)</x:f>
      </x:c>
      <x:c r="E26" s="28">
        <x:f>IF(O26=0,"",O26)</x:f>
      </x:c>
      <x:c r="F26" s="28">
        <x:f>IF(P26=0,"",P26)</x:f>
      </x:c>
      <x:c r="G26" s="28">
        <x:f>IF(Q26=0,"",Q26)</x:f>
      </x:c>
      <x:c r="H26" s="28">
        <x:f>IF(R26=0,"",R26)</x:f>
      </x:c>
      <x:c r="I26" s="28" t="s"/>
      <x:c r="J26" s="28" t="s"/>
      <x:c r="K26" s="28" t="s"/>
      <x:c r="L26" s="28" t="s"/>
      <x:c r="M26" s="29">
        <x:f>IF(D26&lt;&gt;"",IFERROR(IF(D26=$E$2,"OK","NG"),""),"")</x:f>
      </x:c>
      <x:c r="N26" s="0">
        <x:f>SUM(O26:R26)</x:f>
      </x:c>
      <x:c r="O26" s="0">
        <x:f>I26/8</x:f>
      </x:c>
      <x:c r="P26" s="0">
        <x:f>J26/8</x:f>
      </x:c>
      <x:c r="Q26" s="0">
        <x:f>K26/8</x:f>
      </x:c>
      <x:c r="R26" s="0">
        <x:f>L26/8</x:f>
      </x:c>
    </x:row>
    <x:row r="27" spans="1:19" ht="15.75" customHeight="1" x14ac:dyDescent="0.25">
      <x:c r="A27" s="28" t="n">
        <x:v>22</x:v>
      </x:c>
      <x:c r="B27" s="28" t="s">
        <x:v>53</x:v>
      </x:c>
      <x:c r="C27" s="28" t="s">
        <x:v>54</x:v>
      </x:c>
      <x:c r="D27" s="28">
        <x:f>IF(N27=0,"",N27)</x:f>
      </x:c>
      <x:c r="E27" s="28">
        <x:f>IF(O27=0,"",O27)</x:f>
      </x:c>
      <x:c r="F27" s="28">
        <x:f>IF(P27=0,"",P27)</x:f>
      </x:c>
      <x:c r="G27" s="28">
        <x:f>IF(Q27=0,"",Q27)</x:f>
      </x:c>
      <x:c r="H27" s="28">
        <x:f>IF(R27=0,"",R27)</x:f>
      </x:c>
      <x:c r="I27" s="28" t="s"/>
      <x:c r="J27" s="28" t="s"/>
      <x:c r="K27" s="28" t="s"/>
      <x:c r="L27" s="28" t="s"/>
      <x:c r="M27" s="29">
        <x:f>IF(D27&lt;&gt;"",IFERROR(IF(D27=$E$2,"OK","NG"),""),"")</x:f>
      </x:c>
      <x:c r="N27" s="0">
        <x:f>SUM(O27:R27)</x:f>
      </x:c>
      <x:c r="O27" s="0">
        <x:f>I27/8</x:f>
      </x:c>
      <x:c r="P27" s="0">
        <x:f>J27/8</x:f>
      </x:c>
      <x:c r="Q27" s="0">
        <x:f>K27/8</x:f>
      </x:c>
      <x:c r="R27" s="0">
        <x:f>L27/8</x:f>
      </x:c>
    </x:row>
    <x:row r="28" spans="1:19" ht="15.75" customHeight="1" x14ac:dyDescent="0.25">
      <x:c r="A28" s="28" t="n">
        <x:v>23</x:v>
      </x:c>
      <x:c r="B28" s="28" t="s">
        <x:v>55</x:v>
      </x:c>
      <x:c r="C28" s="28" t="s">
        <x:v>56</x:v>
      </x:c>
      <x:c r="D28" s="28">
        <x:f>IF(N28=0,"",N28)</x:f>
      </x:c>
      <x:c r="E28" s="28">
        <x:f>IF(O28=0,"",O28)</x:f>
      </x:c>
      <x:c r="F28" s="28">
        <x:f>IF(P28=0,"",P28)</x:f>
      </x:c>
      <x:c r="G28" s="28">
        <x:f>IF(Q28=0,"",Q28)</x:f>
      </x:c>
      <x:c r="H28" s="28">
        <x:f>IF(R28=0,"",R28)</x:f>
      </x:c>
      <x:c r="I28" s="28" t="s"/>
      <x:c r="J28" s="28" t="s"/>
      <x:c r="K28" s="28" t="s"/>
      <x:c r="L28" s="28" t="s"/>
      <x:c r="M28" s="29">
        <x:f>IF(D28&lt;&gt;"",IFERROR(IF(D28=$E$2,"OK","NG"),""),"")</x:f>
      </x:c>
      <x:c r="N28" s="0">
        <x:f>SUM(O28:R28)</x:f>
      </x:c>
      <x:c r="O28" s="0">
        <x:f>I28/8</x:f>
      </x:c>
      <x:c r="P28" s="0">
        <x:f>J28/8</x:f>
      </x:c>
      <x:c r="Q28" s="0">
        <x:f>K28/8</x:f>
      </x:c>
      <x:c r="R28" s="0">
        <x:f>L28/8</x:f>
      </x:c>
    </x:row>
    <x:row r="29" spans="1:19" ht="15.75" customHeight="1" x14ac:dyDescent="0.25">
      <x:c r="A29" s="28" t="n">
        <x:v>24</x:v>
      </x:c>
      <x:c r="B29" s="28" t="s">
        <x:v>57</x:v>
      </x:c>
      <x:c r="C29" s="28" t="s">
        <x:v>58</x:v>
      </x:c>
      <x:c r="D29" s="28">
        <x:f>IF(N29=0,"",N29)</x:f>
      </x:c>
      <x:c r="E29" s="28">
        <x:f>IF(O29=0,"",O29)</x:f>
      </x:c>
      <x:c r="F29" s="28">
        <x:f>IF(P29=0,"",P29)</x:f>
      </x:c>
      <x:c r="G29" s="28">
        <x:f>IF(Q29=0,"",Q29)</x:f>
      </x:c>
      <x:c r="H29" s="28">
        <x:f>IF(R29=0,"",R29)</x:f>
      </x:c>
      <x:c r="I29" s="28" t="s"/>
      <x:c r="J29" s="28" t="s"/>
      <x:c r="K29" s="28" t="s"/>
      <x:c r="L29" s="28" t="s"/>
      <x:c r="M29" s="29">
        <x:f>IF(D29&lt;&gt;"",IFERROR(IF(D29=$E$2,"OK","NG"),""),"")</x:f>
      </x:c>
      <x:c r="N29" s="0">
        <x:f>SUM(O29:R29)</x:f>
      </x:c>
      <x:c r="O29" s="0">
        <x:f>I29/8</x:f>
      </x:c>
      <x:c r="P29" s="0">
        <x:f>J29/8</x:f>
      </x:c>
      <x:c r="Q29" s="0">
        <x:f>K29/8</x:f>
      </x:c>
      <x:c r="R29" s="0">
        <x:f>L29/8</x:f>
      </x:c>
    </x:row>
    <x:row r="30" spans="1:19" ht="15.75" customHeight="1" x14ac:dyDescent="0.25">
      <x:c r="A30" s="28" t="n">
        <x:v>25</x:v>
      </x:c>
      <x:c r="B30" s="28" t="s">
        <x:v>59</x:v>
      </x:c>
      <x:c r="C30" s="28" t="s">
        <x:v>60</x:v>
      </x:c>
      <x:c r="D30" s="28">
        <x:f>IF(N30=0,"",N30)</x:f>
      </x:c>
      <x:c r="E30" s="28">
        <x:f>IF(O30=0,"",O30)</x:f>
      </x:c>
      <x:c r="F30" s="28">
        <x:f>IF(P30=0,"",P30)</x:f>
      </x:c>
      <x:c r="G30" s="28">
        <x:f>IF(Q30=0,"",Q30)</x:f>
      </x:c>
      <x:c r="H30" s="28">
        <x:f>IF(R30=0,"",R30)</x:f>
      </x:c>
      <x:c r="I30" s="28" t="s"/>
      <x:c r="J30" s="28" t="s"/>
      <x:c r="K30" s="28" t="s"/>
      <x:c r="L30" s="28" t="s"/>
      <x:c r="M30" s="29">
        <x:f>IF(D30&lt;&gt;"",IFERROR(IF(D30=$E$2,"OK","NG"),""),"")</x:f>
      </x:c>
      <x:c r="N30" s="0">
        <x:f>SUM(O30:R30)</x:f>
      </x:c>
      <x:c r="O30" s="0">
        <x:f>I30/8</x:f>
      </x:c>
      <x:c r="P30" s="0">
        <x:f>J30/8</x:f>
      </x:c>
      <x:c r="Q30" s="0">
        <x:f>K30/8</x:f>
      </x:c>
      <x:c r="R30" s="0">
        <x:f>L30/8</x:f>
      </x:c>
    </x:row>
    <x:row r="31" spans="1:19" ht="15.75" customHeight="1" x14ac:dyDescent="0.25">
      <x:c r="A31" s="28" t="n">
        <x:v>26</x:v>
      </x:c>
      <x:c r="B31" s="28" t="s">
        <x:v>61</x:v>
      </x:c>
      <x:c r="C31" s="28" t="s">
        <x:v>62</x:v>
      </x:c>
      <x:c r="D31" s="28">
        <x:f>IF(N31=0,"",N31)</x:f>
      </x:c>
      <x:c r="E31" s="28">
        <x:f>IF(O31=0,"",O31)</x:f>
      </x:c>
      <x:c r="F31" s="28">
        <x:f>IF(P31=0,"",P31)</x:f>
      </x:c>
      <x:c r="G31" s="28">
        <x:f>IF(Q31=0,"",Q31)</x:f>
      </x:c>
      <x:c r="H31" s="28">
        <x:f>IF(R31=0,"",R31)</x:f>
      </x:c>
      <x:c r="I31" s="28" t="s"/>
      <x:c r="J31" s="28" t="s"/>
      <x:c r="K31" s="28" t="s"/>
      <x:c r="L31" s="28" t="s"/>
      <x:c r="M31" s="29">
        <x:f>IF(D31&lt;&gt;"",IFERROR(IF(D31=$E$2,"OK","NG"),""),"")</x:f>
      </x:c>
      <x:c r="N31" s="0">
        <x:f>SUM(O31:R31)</x:f>
      </x:c>
      <x:c r="O31" s="0">
        <x:f>I31/8</x:f>
      </x:c>
      <x:c r="P31" s="0">
        <x:f>J31/8</x:f>
      </x:c>
      <x:c r="Q31" s="0">
        <x:f>K31/8</x:f>
      </x:c>
      <x:c r="R31" s="0">
        <x:f>L31/8</x:f>
      </x:c>
    </x:row>
    <x:row r="32" spans="1:19" ht="15.75" customHeight="1" x14ac:dyDescent="0.25">
      <x:c r="A32" s="28" t="n">
        <x:v>27</x:v>
      </x:c>
      <x:c r="B32" s="28" t="s">
        <x:v>63</x:v>
      </x:c>
      <x:c r="C32" s="28" t="s">
        <x:v>64</x:v>
      </x:c>
      <x:c r="D32" s="28">
        <x:f>IF(N32=0,"",N32)</x:f>
      </x:c>
      <x:c r="E32" s="28">
        <x:f>IF(O32=0,"",O32)</x:f>
      </x:c>
      <x:c r="F32" s="28">
        <x:f>IF(P32=0,"",P32)</x:f>
      </x:c>
      <x:c r="G32" s="28">
        <x:f>IF(Q32=0,"",Q32)</x:f>
      </x:c>
      <x:c r="H32" s="28">
        <x:f>IF(R32=0,"",R32)</x:f>
      </x:c>
      <x:c r="I32" s="28" t="s"/>
      <x:c r="J32" s="28" t="s"/>
      <x:c r="K32" s="28" t="s"/>
      <x:c r="L32" s="28" t="s"/>
      <x:c r="M32" s="29">
        <x:f>IF(D32&lt;&gt;"",IFERROR(IF(D32=$E$2,"OK","NG"),""),"")</x:f>
      </x:c>
      <x:c r="N32" s="0">
        <x:f>SUM(O32:R32)</x:f>
      </x:c>
      <x:c r="O32" s="0">
        <x:f>I32/8</x:f>
      </x:c>
      <x:c r="P32" s="0">
        <x:f>J32/8</x:f>
      </x:c>
      <x:c r="Q32" s="0">
        <x:f>K32/8</x:f>
      </x:c>
      <x:c r="R32" s="0">
        <x:f>L32/8</x:f>
      </x:c>
    </x:row>
    <x:row r="33" spans="1:19" ht="15.75" customHeight="1" x14ac:dyDescent="0.25">
      <x:c r="A33" s="28" t="n">
        <x:v>28</x:v>
      </x:c>
      <x:c r="B33" s="28" t="s">
        <x:v>65</x:v>
      </x:c>
      <x:c r="C33" s="28" t="s">
        <x:v>66</x:v>
      </x:c>
      <x:c r="D33" s="28">
        <x:f>IF(N33=0,"",N33)</x:f>
      </x:c>
      <x:c r="E33" s="28">
        <x:f>IF(O33=0,"",O33)</x:f>
      </x:c>
      <x:c r="F33" s="28">
        <x:f>IF(P33=0,"",P33)</x:f>
      </x:c>
      <x:c r="G33" s="28">
        <x:f>IF(Q33=0,"",Q33)</x:f>
      </x:c>
      <x:c r="H33" s="28">
        <x:f>IF(R33=0,"",R33)</x:f>
      </x:c>
      <x:c r="I33" s="28" t="s"/>
      <x:c r="J33" s="28" t="s"/>
      <x:c r="K33" s="28" t="s"/>
      <x:c r="L33" s="28" t="s"/>
      <x:c r="M33" s="29">
        <x:f>IF(D33&lt;&gt;"",IFERROR(IF(D33=$E$2,"OK","NG"),""),"")</x:f>
      </x:c>
      <x:c r="N33" s="0">
        <x:f>SUM(O33:R33)</x:f>
      </x:c>
      <x:c r="O33" s="0">
        <x:f>I33/8</x:f>
      </x:c>
      <x:c r="P33" s="0">
        <x:f>J33/8</x:f>
      </x:c>
      <x:c r="Q33" s="0">
        <x:f>K33/8</x:f>
      </x:c>
      <x:c r="R33" s="0">
        <x:f>L33/8</x:f>
      </x:c>
    </x:row>
    <x:row r="34" spans="1:19" ht="15.75" customHeight="1" x14ac:dyDescent="0.25">
      <x:c r="A34" s="28" t="n">
        <x:v>29</x:v>
      </x:c>
      <x:c r="B34" s="28" t="s">
        <x:v>67</x:v>
      </x:c>
      <x:c r="C34" s="28" t="s">
        <x:v>68</x:v>
      </x:c>
      <x:c r="D34" s="28">
        <x:f>IF(N34=0,"",N34)</x:f>
      </x:c>
      <x:c r="E34" s="28">
        <x:f>IF(O34=0,"",O34)</x:f>
      </x:c>
      <x:c r="F34" s="28">
        <x:f>IF(P34=0,"",P34)</x:f>
      </x:c>
      <x:c r="G34" s="28">
        <x:f>IF(Q34=0,"",Q34)</x:f>
      </x:c>
      <x:c r="H34" s="28">
        <x:f>IF(R34=0,"",R34)</x:f>
      </x:c>
      <x:c r="I34" s="28" t="s"/>
      <x:c r="J34" s="28" t="s"/>
      <x:c r="K34" s="28" t="s"/>
      <x:c r="L34" s="28" t="s"/>
      <x:c r="M34" s="29">
        <x:f>IF(D34&lt;&gt;"",IFERROR(IF(D34=$E$2,"OK","NG"),""),"")</x:f>
      </x:c>
      <x:c r="N34" s="0">
        <x:f>SUM(O34:R34)</x:f>
      </x:c>
      <x:c r="O34" s="0">
        <x:f>I34/8</x:f>
      </x:c>
      <x:c r="P34" s="0">
        <x:f>J34/8</x:f>
      </x:c>
      <x:c r="Q34" s="0">
        <x:f>K34/8</x:f>
      </x:c>
      <x:c r="R34" s="0">
        <x:f>L34/8</x:f>
      </x:c>
    </x:row>
    <x:row r="35" spans="1:19" ht="15.75" customHeight="1" x14ac:dyDescent="0.25">
      <x:c r="A35" s="28" t="n">
        <x:v>30</x:v>
      </x:c>
      <x:c r="B35" s="28" t="s">
        <x:v>69</x:v>
      </x:c>
      <x:c r="C35" s="28" t="s">
        <x:v>70</x:v>
      </x:c>
      <x:c r="D35" s="28">
        <x:f>IF(N35=0,"",N35)</x:f>
      </x:c>
      <x:c r="E35" s="28">
        <x:f>IF(O35=0,"",O35)</x:f>
      </x:c>
      <x:c r="F35" s="28">
        <x:f>IF(P35=0,"",P35)</x:f>
      </x:c>
      <x:c r="G35" s="28">
        <x:f>IF(Q35=0,"",Q35)</x:f>
      </x:c>
      <x:c r="H35" s="28">
        <x:f>IF(R35=0,"",R35)</x:f>
      </x:c>
      <x:c r="I35" s="28" t="s"/>
      <x:c r="J35" s="28" t="s"/>
      <x:c r="K35" s="28" t="s"/>
      <x:c r="L35" s="28" t="s"/>
      <x:c r="M35" s="29">
        <x:f>IF(D35&lt;&gt;"",IFERROR(IF(D35=$E$2,"OK","NG"),""),"")</x:f>
      </x:c>
      <x:c r="N35" s="0">
        <x:f>SUM(O35:R35)</x:f>
      </x:c>
      <x:c r="O35" s="0">
        <x:f>I35/8</x:f>
      </x:c>
      <x:c r="P35" s="0">
        <x:f>J35/8</x:f>
      </x:c>
      <x:c r="Q35" s="0">
        <x:f>K35/8</x:f>
      </x:c>
      <x:c r="R35" s="0">
        <x:f>L35/8</x:f>
      </x:c>
    </x:row>
    <x:row r="36" spans="1:19" ht="15.75" customHeight="1" x14ac:dyDescent="0.25">
      <x:c r="A36" s="28" t="n">
        <x:v>31</x:v>
      </x:c>
      <x:c r="B36" s="28" t="s">
        <x:v>71</x:v>
      </x:c>
      <x:c r="C36" s="28" t="s">
        <x:v>72</x:v>
      </x:c>
      <x:c r="D36" s="28">
        <x:f>IF(N36=0,"",N36)</x:f>
      </x:c>
      <x:c r="E36" s="28">
        <x:f>IF(O36=0,"",O36)</x:f>
      </x:c>
      <x:c r="F36" s="28">
        <x:f>IF(P36=0,"",P36)</x:f>
      </x:c>
      <x:c r="G36" s="28">
        <x:f>IF(Q36=0,"",Q36)</x:f>
      </x:c>
      <x:c r="H36" s="28">
        <x:f>IF(R36=0,"",R36)</x:f>
      </x:c>
      <x:c r="I36" s="28" t="s"/>
      <x:c r="J36" s="28" t="s"/>
      <x:c r="K36" s="28" t="s"/>
      <x:c r="L36" s="28" t="s"/>
      <x:c r="M36" s="29">
        <x:f>IF(D36&lt;&gt;"",IFERROR(IF(D36=$E$2,"OK","NG"),""),"")</x:f>
      </x:c>
      <x:c r="N36" s="0">
        <x:f>SUM(O36:R36)</x:f>
      </x:c>
      <x:c r="O36" s="0">
        <x:f>I36/8</x:f>
      </x:c>
      <x:c r="P36" s="0">
        <x:f>J36/8</x:f>
      </x:c>
      <x:c r="Q36" s="0">
        <x:f>K36/8</x:f>
      </x:c>
      <x:c r="R36" s="0">
        <x:f>L36/8</x:f>
      </x:c>
    </x:row>
    <x:row r="37" spans="1:19" ht="15.75" customHeight="1" x14ac:dyDescent="0.25">
      <x:c r="A37" s="30" t="n">
        <x:v>32</x:v>
      </x:c>
      <x:c r="B37" s="30" t="s">
        <x:v>73</x:v>
      </x:c>
      <x:c r="C37" s="30" t="s">
        <x:v>74</x:v>
      </x:c>
      <x:c r="D37" s="30">
        <x:f>IF(N37=0,"",N37)</x:f>
      </x:c>
      <x:c r="E37" s="30">
        <x:f>IF(O37=0,"",O37)</x:f>
      </x:c>
      <x:c r="F37" s="30">
        <x:f>IF(P37=0,"",P37)</x:f>
      </x:c>
      <x:c r="G37" s="30">
        <x:f>IF(Q37=0,"",Q37)</x:f>
      </x:c>
      <x:c r="H37" s="30">
        <x:f>IF(R37=0,"",R37)</x:f>
      </x:c>
      <x:c r="I37" s="30" t="s"/>
      <x:c r="J37" s="30" t="s"/>
      <x:c r="K37" s="30" t="s"/>
      <x:c r="L37" s="30" t="s"/>
      <x:c r="M37" s="31">
        <x:f>IF(D37&lt;&gt;"",IFERROR(IF(D37=$E$2,"OK","NG"),""),"")</x:f>
      </x:c>
      <x:c r="N37" s="0">
        <x:f>SUM(O37:R37)</x:f>
      </x:c>
      <x:c r="O37" s="0">
        <x:f>I37/8</x:f>
      </x:c>
      <x:c r="P37" s="0">
        <x:f>J37/8</x:f>
      </x:c>
      <x:c r="Q37" s="0">
        <x:f>K37/8</x:f>
      </x:c>
      <x:c r="R37" s="0">
        <x:f>L37/8</x:f>
      </x:c>
    </x:row>
    <x:row r="38" spans="1:19" ht="15.75" customHeight="1" x14ac:dyDescent="0.25">
      <x:c r="A38" s="30" t="n">
        <x:v>33</x:v>
      </x:c>
      <x:c r="B38" s="30" t="s">
        <x:v>75</x:v>
      </x:c>
      <x:c r="C38" s="30" t="s">
        <x:v>76</x:v>
      </x:c>
      <x:c r="D38" s="30">
        <x:f>IF(N38=0,"",N38)</x:f>
      </x:c>
      <x:c r="E38" s="30">
        <x:f>IF(O38=0,"",O38)</x:f>
      </x:c>
      <x:c r="F38" s="30">
        <x:f>IF(P38=0,"",P38)</x:f>
      </x:c>
      <x:c r="G38" s="30">
        <x:f>IF(Q38=0,"",Q38)</x:f>
      </x:c>
      <x:c r="H38" s="30">
        <x:f>IF(R38=0,"",R38)</x:f>
      </x:c>
      <x:c r="I38" s="30" t="s"/>
      <x:c r="J38" s="30" t="s"/>
      <x:c r="K38" s="30" t="s"/>
      <x:c r="L38" s="30" t="s"/>
      <x:c r="M38" s="31">
        <x:f>IF(D38&lt;&gt;"",IFERROR(IF(D38=$E$2,"OK","NG"),""),"")</x:f>
      </x:c>
      <x:c r="N38" s="0">
        <x:f>SUM(O38:R38)</x:f>
      </x:c>
      <x:c r="O38" s="0">
        <x:f>I38/8</x:f>
      </x:c>
      <x:c r="P38" s="0">
        <x:f>J38/8</x:f>
      </x:c>
      <x:c r="Q38" s="0">
        <x:f>K38/8</x:f>
      </x:c>
      <x:c r="R38" s="0">
        <x:f>L38/8</x:f>
      </x:c>
    </x:row>
    <x:row r="39" spans="1:19" ht="15.75" customHeight="1" x14ac:dyDescent="0.25">
      <x:c r="A39" s="30" t="n">
        <x:v>34</x:v>
      </x:c>
      <x:c r="B39" s="30" t="s">
        <x:v>77</x:v>
      </x:c>
      <x:c r="C39" s="30" t="s">
        <x:v>78</x:v>
      </x:c>
      <x:c r="D39" s="30">
        <x:f>IF(N39=0,"",N39)</x:f>
      </x:c>
      <x:c r="E39" s="30">
        <x:f>IF(O39=0,"",O39)</x:f>
      </x:c>
      <x:c r="F39" s="30">
        <x:f>IF(P39=0,"",P39)</x:f>
      </x:c>
      <x:c r="G39" s="30">
        <x:f>IF(Q39=0,"",Q39)</x:f>
      </x:c>
      <x:c r="H39" s="30">
        <x:f>IF(R39=0,"",R39)</x:f>
      </x:c>
      <x:c r="I39" s="30" t="s"/>
      <x:c r="J39" s="30" t="s"/>
      <x:c r="K39" s="30" t="s"/>
      <x:c r="L39" s="30" t="s"/>
      <x:c r="M39" s="31">
        <x:f>IF(D39&lt;&gt;"",IFERROR(IF(D39=$E$2,"OK","NG"),""),"")</x:f>
      </x:c>
      <x:c r="N39" s="0">
        <x:f>SUM(O39:R39)</x:f>
      </x:c>
      <x:c r="O39" s="0">
        <x:f>I39/8</x:f>
      </x:c>
      <x:c r="P39" s="0">
        <x:f>J39/8</x:f>
      </x:c>
      <x:c r="Q39" s="0">
        <x:f>K39/8</x:f>
      </x:c>
      <x:c r="R39" s="0">
        <x:f>L39/8</x:f>
      </x:c>
    </x:row>
    <x:row r="40" spans="1:19" ht="15.75" customHeight="1" x14ac:dyDescent="0.25">
      <x:c r="A40" s="30" t="n">
        <x:v>35</x:v>
      </x:c>
      <x:c r="B40" s="30" t="s">
        <x:v>79</x:v>
      </x:c>
      <x:c r="C40" s="30" t="s">
        <x:v>80</x:v>
      </x:c>
      <x:c r="D40" s="30">
        <x:f>IF(N40=0,"",N40)</x:f>
      </x:c>
      <x:c r="E40" s="30">
        <x:f>IF(O40=0,"",O40)</x:f>
      </x:c>
      <x:c r="F40" s="30">
        <x:f>IF(P40=0,"",P40)</x:f>
      </x:c>
      <x:c r="G40" s="30">
        <x:f>IF(Q40=0,"",Q40)</x:f>
      </x:c>
      <x:c r="H40" s="30">
        <x:f>IF(R40=0,"",R40)</x:f>
      </x:c>
      <x:c r="I40" s="30" t="s"/>
      <x:c r="J40" s="30" t="s"/>
      <x:c r="K40" s="30" t="s"/>
      <x:c r="L40" s="30" t="s"/>
      <x:c r="M40" s="31">
        <x:f>IF(D40&lt;&gt;"",IFERROR(IF(D40=$E$2,"OK","NG"),""),"")</x:f>
      </x:c>
      <x:c r="N40" s="0">
        <x:f>SUM(O40:R40)</x:f>
      </x:c>
      <x:c r="O40" s="0">
        <x:f>I40/8</x:f>
      </x:c>
      <x:c r="P40" s="0">
        <x:f>J40/8</x:f>
      </x:c>
      <x:c r="Q40" s="0">
        <x:f>K40/8</x:f>
      </x:c>
      <x:c r="R40" s="0">
        <x:f>L40/8</x:f>
      </x:c>
    </x:row>
    <x:row r="41" spans="1:19" ht="15.75" customHeight="1" x14ac:dyDescent="0.25">
      <x:c r="A41" s="28" t="n">
        <x:v>36</x:v>
      </x:c>
      <x:c r="B41" s="28" t="s">
        <x:v>81</x:v>
      </x:c>
      <x:c r="C41" s="28" t="s">
        <x:v>82</x:v>
      </x:c>
      <x:c r="D41" s="28">
        <x:f>IF(N41=0,"",N41)</x:f>
      </x:c>
      <x:c r="E41" s="28">
        <x:f>IF(O41=0,"",O41)</x:f>
      </x:c>
      <x:c r="F41" s="28">
        <x:f>IF(P41=0,"",P41)</x:f>
      </x:c>
      <x:c r="G41" s="28">
        <x:f>IF(Q41=0,"",Q41)</x:f>
      </x:c>
      <x:c r="H41" s="28">
        <x:f>IF(R41=0,"",R41)</x:f>
      </x:c>
      <x:c r="I41" s="28" t="s"/>
      <x:c r="J41" s="28" t="s"/>
      <x:c r="K41" s="28" t="s"/>
      <x:c r="L41" s="28" t="s"/>
      <x:c r="M41" s="29">
        <x:f>IF(D41&lt;&gt;"",IFERROR(IF(D41=$E$2,"OK","NG"),""),"")</x:f>
      </x:c>
      <x:c r="N41" s="0">
        <x:f>SUM(O41:R41)</x:f>
      </x:c>
      <x:c r="O41" s="0">
        <x:f>I41/8</x:f>
      </x:c>
      <x:c r="P41" s="0">
        <x:f>J41/8</x:f>
      </x:c>
      <x:c r="Q41" s="0">
        <x:f>K41/8</x:f>
      </x:c>
      <x:c r="R41" s="0">
        <x:f>L41/8</x:f>
      </x:c>
    </x:row>
    <x:row r="42" spans="1:19" ht="15.75" customHeight="1" x14ac:dyDescent="0.25">
      <x:c r="A42" s="28" t="n">
        <x:v>37</x:v>
      </x:c>
      <x:c r="B42" s="28" t="s">
        <x:v>83</x:v>
      </x:c>
      <x:c r="C42" s="28" t="s">
        <x:v>84</x:v>
      </x:c>
      <x:c r="D42" s="28">
        <x:f>IF(N42=0,"",N42)</x:f>
      </x:c>
      <x:c r="E42" s="28">
        <x:f>IF(O42=0,"",O42)</x:f>
      </x:c>
      <x:c r="F42" s="28">
        <x:f>IF(P42=0,"",P42)</x:f>
      </x:c>
      <x:c r="G42" s="28">
        <x:f>IF(Q42=0,"",Q42)</x:f>
      </x:c>
      <x:c r="H42" s="28">
        <x:f>IF(R42=0,"",R42)</x:f>
      </x:c>
      <x:c r="I42" s="28" t="s"/>
      <x:c r="J42" s="28" t="s"/>
      <x:c r="K42" s="28" t="s"/>
      <x:c r="L42" s="28" t="s"/>
      <x:c r="M42" s="29">
        <x:f>IF(D42&lt;&gt;"",IFERROR(IF(D42=$E$2,"OK","NG"),""),"")</x:f>
      </x:c>
      <x:c r="N42" s="0">
        <x:f>SUM(O42:R42)</x:f>
      </x:c>
      <x:c r="O42" s="0">
        <x:f>I42/8</x:f>
      </x:c>
      <x:c r="P42" s="0">
        <x:f>J42/8</x:f>
      </x:c>
      <x:c r="Q42" s="0">
        <x:f>K42/8</x:f>
      </x:c>
      <x:c r="R42" s="0">
        <x:f>L42/8</x:f>
      </x:c>
    </x:row>
    <x:row r="43" spans="1:19" ht="15.75" customHeight="1" x14ac:dyDescent="0.25">
      <x:c r="A43" s="28" t="n">
        <x:v>38</x:v>
      </x:c>
      <x:c r="B43" s="28" t="s">
        <x:v>85</x:v>
      </x:c>
      <x:c r="C43" s="28" t="s">
        <x:v>86</x:v>
      </x:c>
      <x:c r="D43" s="28">
        <x:f>IF(N43=0,"",N43)</x:f>
      </x:c>
      <x:c r="E43" s="28">
        <x:f>IF(O43=0,"",O43)</x:f>
      </x:c>
      <x:c r="F43" s="28">
        <x:f>IF(P43=0,"",P43)</x:f>
      </x:c>
      <x:c r="G43" s="28">
        <x:f>IF(Q43=0,"",Q43)</x:f>
      </x:c>
      <x:c r="H43" s="28">
        <x:f>IF(R43=0,"",R43)</x:f>
      </x:c>
      <x:c r="I43" s="28" t="s"/>
      <x:c r="J43" s="28" t="s"/>
      <x:c r="K43" s="28" t="s"/>
      <x:c r="L43" s="28" t="s"/>
      <x:c r="M43" s="29">
        <x:f>IF(D43&lt;&gt;"",IFERROR(IF(D43=$E$2,"OK","NG"),""),"")</x:f>
      </x:c>
      <x:c r="N43" s="0">
        <x:f>SUM(O43:R43)</x:f>
      </x:c>
      <x:c r="O43" s="0">
        <x:f>I43/8</x:f>
      </x:c>
      <x:c r="P43" s="0">
        <x:f>J43/8</x:f>
      </x:c>
      <x:c r="Q43" s="0">
        <x:f>K43/8</x:f>
      </x:c>
      <x:c r="R43" s="0">
        <x:f>L43/8</x:f>
      </x:c>
    </x:row>
    <x:row r="44" spans="1:19" ht="15.75" customHeight="1" x14ac:dyDescent="0.25">
      <x:c r="A44" s="28" t="n">
        <x:v>39</x:v>
      </x:c>
      <x:c r="B44" s="28" t="s">
        <x:v>87</x:v>
      </x:c>
      <x:c r="C44" s="28" t="s">
        <x:v>88</x:v>
      </x:c>
      <x:c r="D44" s="28">
        <x:f>IF(N44=0,"",N44)</x:f>
      </x:c>
      <x:c r="E44" s="28">
        <x:f>IF(O44=0,"",O44)</x:f>
      </x:c>
      <x:c r="F44" s="28">
        <x:f>IF(P44=0,"",P44)</x:f>
      </x:c>
      <x:c r="G44" s="28">
        <x:f>IF(Q44=0,"",Q44)</x:f>
      </x:c>
      <x:c r="H44" s="28">
        <x:f>IF(R44=0,"",R44)</x:f>
      </x:c>
      <x:c r="I44" s="28" t="s"/>
      <x:c r="J44" s="28" t="s"/>
      <x:c r="K44" s="28" t="s"/>
      <x:c r="L44" s="28" t="s"/>
      <x:c r="M44" s="29">
        <x:f>IF(D44&lt;&gt;"",IFERROR(IF(D44=$E$2,"OK","NG"),""),"")</x:f>
      </x:c>
      <x:c r="N44" s="0">
        <x:f>SUM(O44:R44)</x:f>
      </x:c>
      <x:c r="O44" s="0">
        <x:f>I44/8</x:f>
      </x:c>
      <x:c r="P44" s="0">
        <x:f>J44/8</x:f>
      </x:c>
      <x:c r="Q44" s="0">
        <x:f>K44/8</x:f>
      </x:c>
      <x:c r="R44" s="0">
        <x:f>L44/8</x:f>
      </x:c>
    </x:row>
    <x:row r="45" spans="1:19" ht="15.75" customHeight="1" x14ac:dyDescent="0.25">
      <x:c r="A45" s="28" t="n">
        <x:v>40</x:v>
      </x:c>
      <x:c r="B45" s="28" t="s">
        <x:v>89</x:v>
      </x:c>
      <x:c r="C45" s="28" t="s">
        <x:v>90</x:v>
      </x:c>
      <x:c r="D45" s="28">
        <x:f>IF(N45=0,"",N45)</x:f>
      </x:c>
      <x:c r="E45" s="28">
        <x:f>IF(O45=0,"",O45)</x:f>
      </x:c>
      <x:c r="F45" s="28">
        <x:f>IF(P45=0,"",P45)</x:f>
      </x:c>
      <x:c r="G45" s="28">
        <x:f>IF(Q45=0,"",Q45)</x:f>
      </x:c>
      <x:c r="H45" s="28">
        <x:f>IF(R45=0,"",R45)</x:f>
      </x:c>
      <x:c r="I45" s="28" t="s"/>
      <x:c r="J45" s="28" t="s"/>
      <x:c r="K45" s="28" t="s"/>
      <x:c r="L45" s="28" t="s"/>
      <x:c r="M45" s="29">
        <x:f>IF(D45&lt;&gt;"",IFERROR(IF(D45=$E$2,"OK","NG"),""),"")</x:f>
      </x:c>
      <x:c r="N45" s="0">
        <x:f>SUM(O45:R45)</x:f>
      </x:c>
      <x:c r="O45" s="0">
        <x:f>I45/8</x:f>
      </x:c>
      <x:c r="P45" s="0">
        <x:f>J45/8</x:f>
      </x:c>
      <x:c r="Q45" s="0">
        <x:f>K45/8</x:f>
      </x:c>
      <x:c r="R45" s="0">
        <x:f>L45/8</x:f>
      </x:c>
    </x:row>
    <x:row r="46" spans="1:19" ht="15.75" customHeight="1" x14ac:dyDescent="0.25">
      <x:c r="A46" s="28" t="n">
        <x:v>41</x:v>
      </x:c>
      <x:c r="B46" s="28" t="s">
        <x:v>91</x:v>
      </x:c>
      <x:c r="C46" s="28" t="s">
        <x:v>92</x:v>
      </x:c>
      <x:c r="D46" s="28">
        <x:f>IF(N46=0,"",N46)</x:f>
      </x:c>
      <x:c r="E46" s="28">
        <x:f>IF(O46=0,"",O46)</x:f>
      </x:c>
      <x:c r="F46" s="28">
        <x:f>IF(P46=0,"",P46)</x:f>
      </x:c>
      <x:c r="G46" s="28">
        <x:f>IF(Q46=0,"",Q46)</x:f>
      </x:c>
      <x:c r="H46" s="28">
        <x:f>IF(R46=0,"",R46)</x:f>
      </x:c>
      <x:c r="I46" s="28" t="s"/>
      <x:c r="J46" s="28" t="s"/>
      <x:c r="K46" s="28" t="s"/>
      <x:c r="L46" s="28" t="s"/>
      <x:c r="M46" s="29">
        <x:f>IF(D46&lt;&gt;"",IFERROR(IF(D46=$E$2,"OK","NG"),""),"")</x:f>
      </x:c>
      <x:c r="N46" s="0">
        <x:f>SUM(O46:R46)</x:f>
      </x:c>
      <x:c r="O46" s="0">
        <x:f>I46/8</x:f>
      </x:c>
      <x:c r="P46" s="0">
        <x:f>J46/8</x:f>
      </x:c>
      <x:c r="Q46" s="0">
        <x:f>K46/8</x:f>
      </x:c>
      <x:c r="R46" s="0">
        <x:f>L46/8</x:f>
      </x:c>
    </x:row>
    <x:row r="47" spans="1:19" ht="15.75" customHeight="1" x14ac:dyDescent="0.25">
      <x:c r="A47" s="28" t="n">
        <x:v>42</x:v>
      </x:c>
      <x:c r="B47" s="28" t="s">
        <x:v>93</x:v>
      </x:c>
      <x:c r="C47" s="28" t="s">
        <x:v>94</x:v>
      </x:c>
      <x:c r="D47" s="28">
        <x:f>IF(N47=0,"",N47)</x:f>
      </x:c>
      <x:c r="E47" s="28">
        <x:f>IF(O47=0,"",O47)</x:f>
      </x:c>
      <x:c r="F47" s="28">
        <x:f>IF(P47=0,"",P47)</x:f>
      </x:c>
      <x:c r="G47" s="28">
        <x:f>IF(Q47=0,"",Q47)</x:f>
      </x:c>
      <x:c r="H47" s="28">
        <x:f>IF(R47=0,"",R47)</x:f>
      </x:c>
      <x:c r="I47" s="28" t="s"/>
      <x:c r="J47" s="28" t="s"/>
      <x:c r="K47" s="28" t="s"/>
      <x:c r="L47" s="28" t="s"/>
      <x:c r="M47" s="29">
        <x:f>IF(D47&lt;&gt;"",IFERROR(IF(D47=$E$2,"OK","NG"),""),"")</x:f>
      </x:c>
      <x:c r="N47" s="0">
        <x:f>SUM(O47:R47)</x:f>
      </x:c>
      <x:c r="O47" s="0">
        <x:f>I47/8</x:f>
      </x:c>
      <x:c r="P47" s="0">
        <x:f>J47/8</x:f>
      </x:c>
      <x:c r="Q47" s="0">
        <x:f>K47/8</x:f>
      </x:c>
      <x:c r="R47" s="0">
        <x:f>L47/8</x:f>
      </x:c>
    </x:row>
    <x:row r="48" spans="1:19" ht="15.75" customHeight="1" x14ac:dyDescent="0.25">
      <x:c r="A48" s="28" t="n">
        <x:v>43</x:v>
      </x:c>
      <x:c r="B48" s="28" t="s">
        <x:v>95</x:v>
      </x:c>
      <x:c r="C48" s="28" t="s">
        <x:v>96</x:v>
      </x:c>
      <x:c r="D48" s="28">
        <x:f>IF(N48=0,"",N48)</x:f>
      </x:c>
      <x:c r="E48" s="28">
        <x:f>IF(O48=0,"",O48)</x:f>
      </x:c>
      <x:c r="F48" s="28">
        <x:f>IF(P48=0,"",P48)</x:f>
      </x:c>
      <x:c r="G48" s="28">
        <x:f>IF(Q48=0,"",Q48)</x:f>
      </x:c>
      <x:c r="H48" s="28">
        <x:f>IF(R48=0,"",R48)</x:f>
      </x:c>
      <x:c r="I48" s="28" t="s"/>
      <x:c r="J48" s="28" t="s"/>
      <x:c r="K48" s="28" t="s"/>
      <x:c r="L48" s="28" t="s"/>
      <x:c r="M48" s="29">
        <x:f>IF(D48&lt;&gt;"",IFERROR(IF(D48=$E$2,"OK","NG"),""),"")</x:f>
      </x:c>
      <x:c r="N48" s="0">
        <x:f>SUM(O48:R48)</x:f>
      </x:c>
      <x:c r="O48" s="0">
        <x:f>I48/8</x:f>
      </x:c>
      <x:c r="P48" s="0">
        <x:f>J48/8</x:f>
      </x:c>
      <x:c r="Q48" s="0">
        <x:f>K48/8</x:f>
      </x:c>
      <x:c r="R48" s="0">
        <x:f>L48/8</x:f>
      </x:c>
    </x:row>
    <x:row r="49" spans="1:19" ht="15.75" customHeight="1" x14ac:dyDescent="0.25">
      <x:c r="A49" s="28" t="n">
        <x:v>44</x:v>
      </x:c>
      <x:c r="B49" s="28" t="s">
        <x:v>97</x:v>
      </x:c>
      <x:c r="C49" s="28" t="s">
        <x:v>98</x:v>
      </x:c>
      <x:c r="D49" s="28">
        <x:f>IF(N49=0,"",N49)</x:f>
      </x:c>
      <x:c r="E49" s="28">
        <x:f>IF(O49=0,"",O49)</x:f>
      </x:c>
      <x:c r="F49" s="28">
        <x:f>IF(P49=0,"",P49)</x:f>
      </x:c>
      <x:c r="G49" s="28">
        <x:f>IF(Q49=0,"",Q49)</x:f>
      </x:c>
      <x:c r="H49" s="28">
        <x:f>IF(R49=0,"",R49)</x:f>
      </x:c>
      <x:c r="I49" s="28" t="s"/>
      <x:c r="J49" s="28" t="s"/>
      <x:c r="K49" s="28" t="s"/>
      <x:c r="L49" s="28" t="s"/>
      <x:c r="M49" s="29">
        <x:f>IF(D49&lt;&gt;"",IFERROR(IF(D49=$E$2,"OK","NG"),""),"")</x:f>
      </x:c>
      <x:c r="N49" s="0">
        <x:f>SUM(O49:R49)</x:f>
      </x:c>
      <x:c r="O49" s="0">
        <x:f>I49/8</x:f>
      </x:c>
      <x:c r="P49" s="0">
        <x:f>J49/8</x:f>
      </x:c>
      <x:c r="Q49" s="0">
        <x:f>K49/8</x:f>
      </x:c>
      <x:c r="R49" s="0">
        <x:f>L49/8</x:f>
      </x:c>
    </x:row>
    <x:row r="50" spans="1:19" ht="15.75" customHeight="1" x14ac:dyDescent="0.25">
      <x:c r="A50" s="28" t="n">
        <x:v>45</x:v>
      </x:c>
      <x:c r="B50" s="28" t="s">
        <x:v>99</x:v>
      </x:c>
      <x:c r="C50" s="28" t="s">
        <x:v>100</x:v>
      </x:c>
      <x:c r="D50" s="28">
        <x:f>IF(N50=0,"",N50)</x:f>
      </x:c>
      <x:c r="E50" s="28">
        <x:f>IF(O50=0,"",O50)</x:f>
      </x:c>
      <x:c r="F50" s="28">
        <x:f>IF(P50=0,"",P50)</x:f>
      </x:c>
      <x:c r="G50" s="28">
        <x:f>IF(Q50=0,"",Q50)</x:f>
      </x:c>
      <x:c r="H50" s="28">
        <x:f>IF(R50=0,"",R50)</x:f>
      </x:c>
      <x:c r="I50" s="28" t="s"/>
      <x:c r="J50" s="28" t="s"/>
      <x:c r="K50" s="28" t="s"/>
      <x:c r="L50" s="28" t="s"/>
      <x:c r="M50" s="29">
        <x:f>IF(D50&lt;&gt;"",IFERROR(IF(D50=$E$2,"OK","NG"),""),"")</x:f>
      </x:c>
      <x:c r="N50" s="0">
        <x:f>SUM(O50:R50)</x:f>
      </x:c>
      <x:c r="O50" s="0">
        <x:f>I50/8</x:f>
      </x:c>
      <x:c r="P50" s="0">
        <x:f>J50/8</x:f>
      </x:c>
      <x:c r="Q50" s="0">
        <x:f>K50/8</x:f>
      </x:c>
      <x:c r="R50" s="0">
        <x:f>L50/8</x:f>
      </x:c>
    </x:row>
    <x:row r="51" spans="1:19" ht="15.75" customHeight="1" x14ac:dyDescent="0.25">
      <x:c r="A51" s="28" t="n">
        <x:v>46</x:v>
      </x:c>
      <x:c r="B51" s="28" t="s">
        <x:v>101</x:v>
      </x:c>
      <x:c r="C51" s="28" t="s">
        <x:v>102</x:v>
      </x:c>
      <x:c r="D51" s="28">
        <x:f>IF(N51=0,"",N51)</x:f>
      </x:c>
      <x:c r="E51" s="28">
        <x:f>IF(O51=0,"",O51)</x:f>
      </x:c>
      <x:c r="F51" s="28">
        <x:f>IF(P51=0,"",P51)</x:f>
      </x:c>
      <x:c r="G51" s="28">
        <x:f>IF(Q51=0,"",Q51)</x:f>
      </x:c>
      <x:c r="H51" s="28">
        <x:f>IF(R51=0,"",R51)</x:f>
      </x:c>
      <x:c r="I51" s="28" t="s"/>
      <x:c r="J51" s="28" t="s"/>
      <x:c r="K51" s="28" t="s"/>
      <x:c r="L51" s="28" t="s"/>
      <x:c r="M51" s="29">
        <x:f>IF(D51&lt;&gt;"",IFERROR(IF(D51=$E$2,"OK","NG"),""),"")</x:f>
      </x:c>
      <x:c r="N51" s="0">
        <x:f>SUM(O51:R51)</x:f>
      </x:c>
      <x:c r="O51" s="0">
        <x:f>I51/8</x:f>
      </x:c>
      <x:c r="P51" s="0">
        <x:f>J51/8</x:f>
      </x:c>
      <x:c r="Q51" s="0">
        <x:f>K51/8</x:f>
      </x:c>
      <x:c r="R51" s="0">
        <x:f>L51/8</x:f>
      </x:c>
    </x:row>
    <x:row r="52" spans="1:19" ht="15.75" customHeight="1" x14ac:dyDescent="0.25">
      <x:c r="A52" s="10" t="s"/>
      <x:c r="B52" s="10" t="s"/>
      <x:c r="C52" s="10" t="s"/>
      <x:c r="D52" s="10">
        <x:f>IF(N52=0,"",N52)</x:f>
      </x:c>
      <x:c r="E52" s="10">
        <x:f>IF(O52=0,"",O52)</x:f>
      </x:c>
      <x:c r="F52" s="10">
        <x:f>IF(P52=0,"",P52)</x:f>
      </x:c>
      <x:c r="G52" s="10">
        <x:f>IF(Q52=0,"",Q52)</x:f>
      </x:c>
      <x:c r="H52" s="10">
        <x:f>IF(R52=0,"",R52)</x:f>
      </x:c>
      <x:c r="I52" s="10" t="s"/>
      <x:c r="J52" s="10" t="s"/>
      <x:c r="K52" s="10" t="s"/>
      <x:c r="L52" s="10" t="s"/>
      <x:c r="M52" s="11">
        <x:f>IF(D52&lt;&gt;"",IFERROR(IF(D52=$E$2,"OK","NG"),""),"")</x:f>
      </x:c>
      <x:c r="N52" s="0">
        <x:f>SUM(O52:R52)</x:f>
      </x:c>
      <x:c r="O52" s="0">
        <x:f>I52/8</x:f>
      </x:c>
      <x:c r="P52" s="0">
        <x:f>J52/8</x:f>
      </x:c>
      <x:c r="Q52" s="0">
        <x:f>K52/8</x:f>
      </x:c>
      <x:c r="R52" s="0">
        <x:f>L52/8</x:f>
      </x:c>
    </x:row>
    <x:row r="53" spans="1:19" ht="15.75" customHeight="1" x14ac:dyDescent="0.25">
      <x:c r="A53" s="10" t="s"/>
      <x:c r="B53" s="10" t="s"/>
      <x:c r="C53" s="10" t="s"/>
      <x:c r="D53" s="10">
        <x:f>IF(N53=0,"",N53)</x:f>
      </x:c>
      <x:c r="E53" s="10">
        <x:f>IF(O53=0,"",O53)</x:f>
      </x:c>
      <x:c r="F53" s="10">
        <x:f>IF(P53=0,"",P53)</x:f>
      </x:c>
      <x:c r="G53" s="10">
        <x:f>IF(Q53=0,"",Q53)</x:f>
      </x:c>
      <x:c r="H53" s="10">
        <x:f>IF(R53=0,"",R53)</x:f>
      </x:c>
      <x:c r="I53" s="10" t="s"/>
      <x:c r="J53" s="10" t="s"/>
      <x:c r="K53" s="10" t="s"/>
      <x:c r="L53" s="10" t="s"/>
      <x:c r="M53" s="11">
        <x:f>IF(D53&lt;&gt;"",IFERROR(IF(D53=$E$2,"OK","NG"),""),"")</x:f>
      </x:c>
      <x:c r="N53" s="0">
        <x:f>SUM(O53:R53)</x:f>
      </x:c>
      <x:c r="O53" s="0">
        <x:f>I53/8</x:f>
      </x:c>
      <x:c r="P53" s="0">
        <x:f>J53/8</x:f>
      </x:c>
      <x:c r="Q53" s="0">
        <x:f>K53/8</x:f>
      </x:c>
      <x:c r="R53" s="0">
        <x:f>L53/8</x:f>
      </x:c>
    </x:row>
    <x:row r="54" spans="1:19" ht="15.75" customHeight="1" x14ac:dyDescent="0.25">
      <x:c r="A54" s="10" t="s"/>
      <x:c r="B54" s="10" t="s"/>
      <x:c r="C54" s="10" t="s"/>
      <x:c r="D54" s="10">
        <x:f>IF(N54=0,"",N54)</x:f>
      </x:c>
      <x:c r="E54" s="10">
        <x:f>IF(O54=0,"",O54)</x:f>
      </x:c>
      <x:c r="F54" s="10">
        <x:f>IF(P54=0,"",P54)</x:f>
      </x:c>
      <x:c r="G54" s="10">
        <x:f>IF(Q54=0,"",Q54)</x:f>
      </x:c>
      <x:c r="H54" s="10">
        <x:f>IF(R54=0,"",R54)</x:f>
      </x:c>
      <x:c r="I54" s="10" t="s"/>
      <x:c r="J54" s="10" t="s"/>
      <x:c r="K54" s="10" t="s"/>
      <x:c r="L54" s="10" t="s"/>
      <x:c r="M54" s="11">
        <x:f>IF(D54&lt;&gt;"",IFERROR(IF(D54=$E$2,"OK","NG"),""),"")</x:f>
      </x:c>
      <x:c r="N54" s="0">
        <x:f>SUM(O54:R54)</x:f>
      </x:c>
      <x:c r="O54" s="0">
        <x:f>I54/8</x:f>
      </x:c>
      <x:c r="P54" s="0">
        <x:f>J54/8</x:f>
      </x:c>
      <x:c r="Q54" s="0">
        <x:f>K54/8</x:f>
      </x:c>
      <x:c r="R54" s="0">
        <x:f>L54/8</x:f>
      </x:c>
    </x:row>
    <x:row r="55" spans="1:19" ht="15.75" customHeight="1" x14ac:dyDescent="0.25">
      <x:c r="A55" s="10" t="s"/>
      <x:c r="B55" s="10" t="s"/>
      <x:c r="C55" s="10" t="s"/>
      <x:c r="D55" s="10">
        <x:f>IF(N55=0,"",N55)</x:f>
      </x:c>
      <x:c r="E55" s="10">
        <x:f>IF(O55=0,"",O55)</x:f>
      </x:c>
      <x:c r="F55" s="10">
        <x:f>IF(P55=0,"",P55)</x:f>
      </x:c>
      <x:c r="G55" s="10">
        <x:f>IF(Q55=0,"",Q55)</x:f>
      </x:c>
      <x:c r="H55" s="10">
        <x:f>IF(R55=0,"",R55)</x:f>
      </x:c>
      <x:c r="I55" s="10" t="s"/>
      <x:c r="J55" s="10" t="s"/>
      <x:c r="K55" s="10" t="s"/>
      <x:c r="L55" s="10" t="s"/>
      <x:c r="M55" s="11">
        <x:f>IF(D55&lt;&gt;"",IFERROR(IF(D55=$E$2,"OK","NG"),""),"")</x:f>
      </x:c>
      <x:c r="N55" s="0">
        <x:f>SUM(O55:R55)</x:f>
      </x:c>
      <x:c r="O55" s="0">
        <x:f>I55/8</x:f>
      </x:c>
      <x:c r="P55" s="0">
        <x:f>J55/8</x:f>
      </x:c>
      <x:c r="Q55" s="0">
        <x:f>K55/8</x:f>
      </x:c>
      <x:c r="R55" s="0">
        <x:f>L55/8</x:f>
      </x:c>
    </x:row>
    <x:row r="56" spans="1:19" ht="15.75" customHeight="1" x14ac:dyDescent="0.25">
      <x:c r="A56" s="32" t="s"/>
      <x:c r="B56" s="32" t="s"/>
      <x:c r="C56" s="32" t="s"/>
      <x:c r="D56" s="32" t="s"/>
      <x:c r="E56" s="32" t="s"/>
      <x:c r="F56" s="32" t="s"/>
      <x:c r="G56" s="32" t="s"/>
      <x:c r="H56" s="32" t="s"/>
      <x:c r="I56" s="32" t="s"/>
      <x:c r="J56" s="32" t="s"/>
      <x:c r="K56" s="32" t="s"/>
      <x:c r="L56" s="32" t="s"/>
    </x:row>
    <x:row r="57" spans="1:19" ht="15.75" customHeight="1" x14ac:dyDescent="0.25">
      <x:c r="A57" s="32" t="s"/>
      <x:c r="B57" s="32" t="s"/>
      <x:c r="C57" s="32" t="s"/>
      <x:c r="D57" s="32" t="s"/>
      <x:c r="E57" s="32" t="s"/>
      <x:c r="F57" s="32" t="s"/>
      <x:c r="G57" s="32" t="s"/>
      <x:c r="H57" s="32" t="s"/>
      <x:c r="I57" s="32" t="s"/>
      <x:c r="J57" s="32" t="s"/>
      <x:c r="K57" s="32" t="s"/>
      <x:c r="L57" s="32" t="s"/>
    </x:row>
    <x:row r="58" spans="1:19" ht="15.75" customHeight="1" x14ac:dyDescent="0.25">
      <x:c r="A58" s="32" t="s"/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</x:row>
    <x:row r="59" spans="1:19" ht="15.75" customHeight="1" x14ac:dyDescent="0.25">
      <x:c r="A59" s="32" t="s"/>
      <x:c r="B59" s="32" t="s"/>
      <x:c r="C59" s="32" t="s"/>
      <x:c r="D59" s="32" t="s"/>
      <x:c r="E59" s="32" t="s"/>
      <x:c r="F59" s="32" t="s"/>
      <x:c r="G59" s="32" t="s"/>
      <x:c r="H59" s="32" t="s"/>
      <x:c r="I59" s="32" t="s"/>
      <x:c r="J59" s="32" t="s"/>
      <x:c r="K59" s="32" t="s"/>
      <x:c r="L59" s="32" t="s"/>
    </x:row>
    <x:row r="60" spans="1:19" ht="15.75" customHeight="1" x14ac:dyDescent="0.25">
      <x:c r="A60" s="32" t="s"/>
      <x:c r="B60" s="32" t="s"/>
      <x:c r="C60" s="32" t="s"/>
      <x:c r="D60" s="32" t="s"/>
      <x:c r="E60" s="32" t="s"/>
      <x:c r="F60" s="32" t="s"/>
      <x:c r="G60" s="32" t="s"/>
      <x:c r="H60" s="32" t="s"/>
      <x:c r="I60" s="32" t="s"/>
      <x:c r="J60" s="32" t="s"/>
      <x:c r="K60" s="32" t="s"/>
      <x:c r="L60" s="32" t="s"/>
    </x:row>
    <x:row r="61" spans="1:19" ht="15.75" customHeight="1" x14ac:dyDescent="0.25">
      <x:c r="A61" s="32" t="s"/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</x:row>
    <x:row r="62" spans="1:19" ht="15.75" customHeight="1" x14ac:dyDescent="0.25">
      <x:c r="A62" s="32" t="s"/>
      <x:c r="B62" s="32" t="s"/>
      <x:c r="C62" s="32" t="s"/>
      <x:c r="D62" s="32" t="s"/>
      <x:c r="E62" s="32" t="s"/>
      <x:c r="F62" s="32" t="s"/>
      <x:c r="G62" s="32" t="s"/>
      <x:c r="H62" s="32" t="s"/>
      <x:c r="I62" s="32" t="s"/>
      <x:c r="J62" s="32" t="s"/>
      <x:c r="K62" s="32" t="s"/>
      <x:c r="L62" s="32" t="s"/>
    </x:row>
    <x:row r="63" spans="1:19" ht="15.75" customHeight="1" x14ac:dyDescent="0.25">
      <x:c r="A63" s="32" t="s"/>
      <x:c r="B63" s="32" t="s"/>
      <x:c r="C63" s="32" t="s"/>
      <x:c r="D63" s="32" t="s"/>
      <x:c r="E63" s="32" t="s"/>
      <x:c r="F63" s="32" t="s"/>
      <x:c r="G63" s="32" t="s"/>
      <x:c r="H63" s="32" t="s"/>
      <x:c r="I63" s="32" t="s"/>
      <x:c r="J63" s="32" t="s"/>
      <x:c r="K63" s="32" t="s"/>
      <x:c r="L63" s="32" t="s"/>
    </x:row>
    <x:row r="64" spans="1:19" ht="15.75" customHeight="1" x14ac:dyDescent="0.25">
      <x:c r="A64" s="32" t="s"/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</x:row>
    <x:row r="65" spans="1:19" ht="15.75" customHeight="1" x14ac:dyDescent="0.25">
      <x:c r="A65" s="32" t="s"/>
      <x:c r="B65" s="32" t="s"/>
      <x:c r="C65" s="32" t="s"/>
      <x:c r="D65" s="32" t="s"/>
      <x:c r="E65" s="32" t="s"/>
      <x:c r="F65" s="32" t="s"/>
      <x:c r="G65" s="32" t="s"/>
      <x:c r="H65" s="32" t="s"/>
      <x:c r="I65" s="32" t="s"/>
      <x:c r="J65" s="32" t="s"/>
      <x:c r="K65" s="32" t="s"/>
      <x:c r="L65" s="32" t="s"/>
    </x:row>
    <x:row r="66" spans="1:19" ht="15.75" customHeight="1" x14ac:dyDescent="0.25">
      <x:c r="A66" s="32" t="s"/>
      <x:c r="B66" s="32" t="s"/>
      <x:c r="C66" s="32" t="s"/>
      <x:c r="D66" s="32" t="s"/>
      <x:c r="E66" s="32" t="s"/>
      <x:c r="F66" s="32" t="s"/>
      <x:c r="G66" s="32" t="s"/>
      <x:c r="H66" s="32" t="s"/>
      <x:c r="I66" s="32" t="s"/>
      <x:c r="J66" s="32" t="s"/>
      <x:c r="K66" s="32" t="s"/>
      <x:c r="L66" s="32" t="s"/>
    </x:row>
    <x:row r="67" spans="1:19" ht="15.75" customHeight="1" x14ac:dyDescent="0.25">
      <x:c r="A67" s="32" t="s"/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</x:row>
    <x:row r="68" spans="1:19" ht="15.75" customHeight="1" x14ac:dyDescent="0.25">
      <x:c r="A68" s="32" t="s"/>
      <x:c r="B68" s="32" t="s"/>
      <x:c r="C68" s="32" t="s"/>
      <x:c r="D68" s="32" t="s"/>
      <x:c r="E68" s="32" t="s"/>
      <x:c r="F68" s="32" t="s"/>
      <x:c r="G68" s="32" t="s"/>
      <x:c r="H68" s="32" t="s"/>
      <x:c r="I68" s="32" t="s"/>
      <x:c r="J68" s="32" t="s"/>
      <x:c r="K68" s="32" t="s"/>
      <x:c r="L68" s="32" t="s"/>
    </x:row>
    <x:row r="69" spans="1:19" ht="15.75" customHeight="1" x14ac:dyDescent="0.25">
      <x:c r="A69" s="32" t="s"/>
      <x:c r="B69" s="32" t="s"/>
      <x:c r="C69" s="32" t="s"/>
      <x:c r="D69" s="32" t="s"/>
      <x:c r="E69" s="32" t="s"/>
      <x:c r="F69" s="32" t="s"/>
      <x:c r="G69" s="32" t="s"/>
      <x:c r="H69" s="32" t="s"/>
      <x:c r="I69" s="32" t="s"/>
      <x:c r="J69" s="32" t="s"/>
      <x:c r="K69" s="32" t="s"/>
      <x:c r="L69" s="32" t="s"/>
    </x:row>
    <x:row r="70" spans="1:19" ht="15.75" customHeight="1" x14ac:dyDescent="0.25">
      <x:c r="A70" s="32" t="s"/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</x:row>
    <x:row r="71" spans="1:19" ht="15.75" customHeight="1" x14ac:dyDescent="0.25">
      <x:c r="A71" s="32" t="s"/>
      <x:c r="B71" s="32" t="s"/>
      <x:c r="C71" s="32" t="s"/>
      <x:c r="D71" s="32" t="s"/>
      <x:c r="E71" s="32" t="s"/>
      <x:c r="F71" s="32" t="s"/>
      <x:c r="G71" s="32" t="s"/>
      <x:c r="H71" s="32" t="s"/>
      <x:c r="I71" s="32" t="s"/>
      <x:c r="J71" s="32" t="s"/>
      <x:c r="K71" s="32" t="s"/>
      <x:c r="L71" s="32" t="s"/>
    </x:row>
    <x:row r="72" spans="1:19" ht="15.75" customHeight="1" x14ac:dyDescent="0.25"/>
    <x:row r="73" spans="1:19" ht="15.75" customHeight="1" x14ac:dyDescent="0.25"/>
    <x:row r="74" spans="1:19" ht="15.75" customHeight="1" x14ac:dyDescent="0.25"/>
    <x:row r="75" spans="1:19" ht="15.75" customHeight="1" x14ac:dyDescent="0.25"/>
    <x:row r="76" spans="1:19" ht="15.75" customHeight="1" x14ac:dyDescent="0.25"/>
    <x:row r="77" spans="1:19" ht="15.75" customHeight="1" x14ac:dyDescent="0.25"/>
    <x:row r="78" spans="1:19" ht="15.75" customHeight="1" x14ac:dyDescent="0.25"/>
    <x:row r="79" spans="1:19" ht="15.75" customHeight="1" x14ac:dyDescent="0.25"/>
    <x:row r="80" spans="1:19" ht="15.75" customHeight="1" x14ac:dyDescent="0.25"/>
    <x:row r="81" spans="1:19" ht="15.75" customHeight="1" x14ac:dyDescent="0.25"/>
    <x:row r="82" spans="1:19" ht="15.75" customHeight="1" x14ac:dyDescent="0.25"/>
    <x:row r="83" spans="1:19" ht="15.75" customHeight="1" x14ac:dyDescent="0.25"/>
    <x:row r="84" spans="1:19" ht="15.75" customHeight="1" x14ac:dyDescent="0.25"/>
    <x:row r="85" spans="1:19" ht="15.75" customHeight="1" x14ac:dyDescent="0.25"/>
    <x:row r="86" spans="1:19" ht="15.75" customHeight="1" x14ac:dyDescent="0.25"/>
    <x:row r="87" spans="1:19" ht="15.75" customHeight="1" x14ac:dyDescent="0.25"/>
    <x:row r="88" spans="1:19" ht="15.75" customHeight="1" x14ac:dyDescent="0.25"/>
    <x:row r="89" spans="1:19" ht="15.75" customHeight="1" x14ac:dyDescent="0.25"/>
    <x:row r="90" spans="1:19" ht="15.75" customHeight="1" x14ac:dyDescent="0.25"/>
    <x:row r="91" spans="1:19" ht="15.75" customHeight="1" x14ac:dyDescent="0.25"/>
    <x:row r="92" spans="1:19" ht="15.75" customHeight="1" x14ac:dyDescent="0.25"/>
    <x:row r="93" spans="1:19" ht="15.75" customHeight="1" x14ac:dyDescent="0.25"/>
    <x:row r="94" spans="1:19" ht="15.75" customHeight="1" x14ac:dyDescent="0.25"/>
    <x:row r="95" spans="1:19" ht="15.75" customHeight="1" x14ac:dyDescent="0.25"/>
    <x:row r="96" spans="1:19" ht="15.75" customHeight="1" x14ac:dyDescent="0.25"/>
    <x:row r="97" spans="1:19" ht="15.75" customHeight="1" x14ac:dyDescent="0.25"/>
    <x:row r="98" spans="1:19" ht="15.75" customHeight="1" x14ac:dyDescent="0.25"/>
    <x:row r="99" spans="1:19" ht="15.75" customHeight="1" x14ac:dyDescent="0.25"/>
    <x:row r="100" spans="1:19" ht="15.75" customHeight="1" x14ac:dyDescent="0.25"/>
    <x:row r="101" spans="1:19" ht="15.75" customHeight="1" x14ac:dyDescent="0.25"/>
    <x:row r="102" spans="1:19" ht="15.75" customHeight="1" x14ac:dyDescent="0.25"/>
    <x:row r="103" spans="1:19" ht="15.75" customHeight="1" x14ac:dyDescent="0.25"/>
    <x:row r="104" spans="1:19" ht="15.75" customHeight="1" x14ac:dyDescent="0.25"/>
    <x:row r="105" spans="1:19" ht="15.75" customHeight="1" x14ac:dyDescent="0.25"/>
    <x:row r="106" spans="1:19" ht="15.75" customHeight="1" x14ac:dyDescent="0.25"/>
    <x:row r="107" spans="1:19" ht="15.75" customHeight="1" x14ac:dyDescent="0.25"/>
    <x:row r="108" spans="1:19" ht="15.75" customHeight="1" x14ac:dyDescent="0.25"/>
    <x:row r="109" spans="1:19" ht="15.75" customHeight="1" x14ac:dyDescent="0.25"/>
    <x:row r="110" spans="1:19" ht="15.75" customHeight="1" x14ac:dyDescent="0.25"/>
    <x:row r="111" spans="1:19" ht="15.75" customHeight="1" x14ac:dyDescent="0.25"/>
    <x:row r="112" spans="1:19" ht="15.75" customHeight="1" x14ac:dyDescent="0.25"/>
    <x:row r="113" spans="1:19" ht="15.75" customHeight="1" x14ac:dyDescent="0.25"/>
    <x:row r="114" spans="1:19" ht="15.75" customHeight="1" x14ac:dyDescent="0.25"/>
    <x:row r="115" spans="1:19" ht="15.75" customHeight="1" x14ac:dyDescent="0.25"/>
    <x:row r="116" spans="1:19" ht="15.75" customHeight="1" x14ac:dyDescent="0.25"/>
    <x:row r="117" spans="1:19" ht="15.75" customHeight="1" x14ac:dyDescent="0.25"/>
    <x:row r="118" spans="1:19" ht="15.75" customHeight="1" x14ac:dyDescent="0.25"/>
    <x:row r="119" spans="1:19" ht="15.75" customHeight="1" x14ac:dyDescent="0.25"/>
    <x:row r="120" spans="1:19" ht="15.75" customHeight="1" x14ac:dyDescent="0.25"/>
    <x:row r="121" spans="1:19" ht="15.75" customHeight="1" x14ac:dyDescent="0.25"/>
    <x:row r="122" spans="1:19" ht="15.75" customHeight="1" x14ac:dyDescent="0.25"/>
    <x:row r="123" spans="1:19" ht="15.75" customHeight="1" x14ac:dyDescent="0.25"/>
    <x:row r="124" spans="1:19" ht="15.75" customHeight="1" x14ac:dyDescent="0.25"/>
    <x:row r="125" spans="1:19" ht="15.75" customHeight="1" x14ac:dyDescent="0.25"/>
    <x:row r="126" spans="1:19" ht="15.75" customHeight="1" x14ac:dyDescent="0.25"/>
    <x:row r="127" spans="1:19" ht="15.75" customHeight="1" x14ac:dyDescent="0.25"/>
    <x:row r="128" spans="1:19" ht="15.75" customHeight="1" x14ac:dyDescent="0.25"/>
    <x:row r="129" spans="1:19" ht="15.75" customHeight="1" x14ac:dyDescent="0.25"/>
    <x:row r="130" spans="1:19" ht="15.75" customHeight="1" x14ac:dyDescent="0.25"/>
    <x:row r="131" spans="1:19" ht="15.75" customHeight="1" x14ac:dyDescent="0.25"/>
    <x:row r="132" spans="1:19" ht="15.75" customHeight="1" x14ac:dyDescent="0.25"/>
    <x:row r="133" spans="1:19" ht="15.75" customHeight="1" x14ac:dyDescent="0.25"/>
    <x:row r="134" spans="1:19" ht="15.75" customHeight="1" x14ac:dyDescent="0.25"/>
    <x:row r="135" spans="1:19" ht="15.75" customHeight="1" x14ac:dyDescent="0.25"/>
    <x:row r="136" spans="1:19" ht="15.75" customHeight="1" x14ac:dyDescent="0.25"/>
    <x:row r="137" spans="1:19" ht="15.75" customHeight="1" x14ac:dyDescent="0.25"/>
    <x:row r="138" spans="1:19" ht="15.75" customHeight="1" x14ac:dyDescent="0.25"/>
    <x:row r="139" spans="1:19" ht="15.75" customHeight="1" x14ac:dyDescent="0.25"/>
    <x:row r="140" spans="1:19" ht="15.75" customHeight="1" x14ac:dyDescent="0.25"/>
    <x:row r="141" spans="1:19" ht="15.75" customHeight="1" x14ac:dyDescent="0.25"/>
    <x:row r="142" spans="1:19" ht="15.75" customHeight="1" x14ac:dyDescent="0.25"/>
    <x:row r="143" spans="1:19" ht="15.75" customHeight="1" x14ac:dyDescent="0.25"/>
    <x:row r="144" spans="1:19" ht="15.75" customHeight="1" x14ac:dyDescent="0.25"/>
    <x:row r="145" spans="1:19" ht="15.75" customHeight="1" x14ac:dyDescent="0.25"/>
    <x:row r="146" spans="1:19" ht="15.75" customHeight="1" x14ac:dyDescent="0.25"/>
    <x:row r="147" spans="1:19" ht="15.75" customHeight="1" x14ac:dyDescent="0.25"/>
    <x:row r="148" spans="1:19" ht="15.75" customHeight="1" x14ac:dyDescent="0.25"/>
    <x:row r="149" spans="1:19" ht="15.75" customHeight="1" x14ac:dyDescent="0.25"/>
    <x:row r="150" spans="1:19" ht="15.75" customHeight="1" x14ac:dyDescent="0.25"/>
    <x:row r="151" spans="1:19" ht="15.75" customHeight="1" x14ac:dyDescent="0.25"/>
    <x:row r="152" spans="1:19" ht="15.75" customHeight="1" x14ac:dyDescent="0.25"/>
    <x:row r="153" spans="1:19" ht="15.75" customHeight="1" x14ac:dyDescent="0.25"/>
    <x:row r="154" spans="1:19" ht="15.75" customHeight="1" x14ac:dyDescent="0.25"/>
    <x:row r="155" spans="1:19" ht="15.75" customHeight="1" x14ac:dyDescent="0.25"/>
    <x:row r="156" spans="1:19" ht="15.75" customHeight="1" x14ac:dyDescent="0.25"/>
    <x:row r="157" spans="1:19" ht="15.75" customHeight="1" x14ac:dyDescent="0.25"/>
    <x:row r="158" spans="1:19" ht="15.75" customHeight="1" x14ac:dyDescent="0.25"/>
    <x:row r="159" spans="1:19" ht="15.75" customHeight="1" x14ac:dyDescent="0.25"/>
    <x:row r="160" spans="1:19" ht="15.75" customHeight="1" x14ac:dyDescent="0.25"/>
    <x:row r="161" spans="1:19" ht="15.75" customHeight="1" x14ac:dyDescent="0.25"/>
    <x:row r="162" spans="1:19" ht="15.75" customHeight="1" x14ac:dyDescent="0.25"/>
    <x:row r="163" spans="1:19" ht="15.75" customHeight="1" x14ac:dyDescent="0.25"/>
    <x:row r="164" spans="1:19" ht="15.75" customHeight="1" x14ac:dyDescent="0.25"/>
    <x:row r="165" spans="1:19" ht="15.75" customHeight="1" x14ac:dyDescent="0.25"/>
    <x:row r="166" spans="1:19" ht="15.75" customHeight="1" x14ac:dyDescent="0.25"/>
    <x:row r="167" spans="1:19" ht="15.75" customHeight="1" x14ac:dyDescent="0.25"/>
    <x:row r="168" spans="1:19" ht="15.75" customHeight="1" x14ac:dyDescent="0.25"/>
    <x:row r="169" spans="1:19" ht="15.75" customHeight="1" x14ac:dyDescent="0.25"/>
    <x:row r="170" spans="1:19" ht="15.75" customHeight="1" x14ac:dyDescent="0.25"/>
    <x:row r="171" spans="1:19" ht="15.75" customHeight="1" x14ac:dyDescent="0.25"/>
    <x:row r="172" spans="1:19" ht="15.75" customHeight="1" x14ac:dyDescent="0.25"/>
    <x:row r="173" spans="1:19" ht="15.75" customHeight="1" x14ac:dyDescent="0.25"/>
    <x:row r="174" spans="1:19" ht="15.75" customHeight="1" x14ac:dyDescent="0.25"/>
    <x:row r="175" spans="1:19" ht="15.75" customHeight="1" x14ac:dyDescent="0.25"/>
    <x:row r="176" spans="1:19" ht="15.75" customHeight="1" x14ac:dyDescent="0.25"/>
    <x:row r="177" spans="1:19" ht="15.75" customHeight="1" x14ac:dyDescent="0.25"/>
    <x:row r="178" spans="1:19" ht="15.75" customHeight="1" x14ac:dyDescent="0.25"/>
    <x:row r="179" spans="1:19" ht="15.75" customHeight="1" x14ac:dyDescent="0.25"/>
    <x:row r="180" spans="1:19" ht="15.75" customHeight="1" x14ac:dyDescent="0.25"/>
    <x:row r="181" spans="1:19" ht="15.75" customHeight="1" x14ac:dyDescent="0.25"/>
    <x:row r="182" spans="1:19" ht="15.75" customHeight="1" x14ac:dyDescent="0.25"/>
    <x:row r="183" spans="1:19" ht="15.75" customHeight="1" x14ac:dyDescent="0.25"/>
    <x:row r="184" spans="1:19" ht="15.75" customHeight="1" x14ac:dyDescent="0.25"/>
    <x:row r="185" spans="1:19" ht="15.75" customHeight="1" x14ac:dyDescent="0.25"/>
    <x:row r="186" spans="1:19" ht="15.75" customHeight="1" x14ac:dyDescent="0.25"/>
    <x:row r="187" spans="1:19" ht="15.75" customHeight="1" x14ac:dyDescent="0.25"/>
    <x:row r="188" spans="1:19" ht="15.75" customHeight="1" x14ac:dyDescent="0.25"/>
    <x:row r="189" spans="1:19" ht="15.75" customHeight="1" x14ac:dyDescent="0.25"/>
    <x:row r="190" spans="1:19" ht="15.75" customHeight="1" x14ac:dyDescent="0.25"/>
    <x:row r="191" spans="1:19" ht="15.75" customHeight="1" x14ac:dyDescent="0.25"/>
    <x:row r="192" spans="1:19" ht="15.75" customHeight="1" x14ac:dyDescent="0.25"/>
    <x:row r="193" spans="1:19" ht="15.75" customHeight="1" x14ac:dyDescent="0.25"/>
    <x:row r="194" spans="1:19" ht="15.75" customHeight="1" x14ac:dyDescent="0.25"/>
    <x:row r="195" spans="1:19" ht="15.75" customHeight="1" x14ac:dyDescent="0.25"/>
    <x:row r="196" spans="1:19" ht="15.75" customHeight="1" x14ac:dyDescent="0.25"/>
    <x:row r="197" spans="1:19" ht="15.75" customHeight="1" x14ac:dyDescent="0.25"/>
    <x:row r="198" spans="1:19" ht="15.75" customHeight="1" x14ac:dyDescent="0.25"/>
    <x:row r="199" spans="1:19" ht="15.75" customHeight="1" x14ac:dyDescent="0.25"/>
    <x:row r="200" spans="1:19" ht="15.75" customHeight="1" x14ac:dyDescent="0.25"/>
    <x:row r="201" spans="1:19" ht="15.75" customHeight="1" x14ac:dyDescent="0.25"/>
    <x:row r="202" spans="1:19" ht="15.75" customHeight="1" x14ac:dyDescent="0.25"/>
    <x:row r="203" spans="1:19" ht="15.75" customHeight="1" x14ac:dyDescent="0.25"/>
    <x:row r="204" spans="1:19" ht="15.75" customHeight="1" x14ac:dyDescent="0.25"/>
    <x:row r="205" spans="1:19" ht="15.75" customHeight="1" x14ac:dyDescent="0.25"/>
    <x:row r="206" spans="1:19" ht="15.75" customHeight="1" x14ac:dyDescent="0.25"/>
    <x:row r="207" spans="1:19" ht="15.75" customHeight="1" x14ac:dyDescent="0.25"/>
    <x:row r="208" spans="1:19" ht="15.75" customHeight="1" x14ac:dyDescent="0.25"/>
    <x:row r="209" spans="1:19" ht="15.75" customHeight="1" x14ac:dyDescent="0.25"/>
    <x:row r="210" spans="1:19" ht="15.75" customHeight="1" x14ac:dyDescent="0.25"/>
    <x:row r="211" spans="1:19" ht="15.75" customHeight="1" x14ac:dyDescent="0.25"/>
    <x:row r="212" spans="1:19" ht="15.75" customHeight="1" x14ac:dyDescent="0.25"/>
    <x:row r="213" spans="1:19" ht="15.75" customHeight="1" x14ac:dyDescent="0.25"/>
    <x:row r="214" spans="1:19" ht="15.75" customHeight="1" x14ac:dyDescent="0.25"/>
    <x:row r="215" spans="1:19" ht="15.75" customHeight="1" x14ac:dyDescent="0.25"/>
    <x:row r="216" spans="1:19" ht="15.75" customHeight="1" x14ac:dyDescent="0.25"/>
    <x:row r="217" spans="1:19" ht="15.75" customHeight="1" x14ac:dyDescent="0.25"/>
    <x:row r="218" spans="1:19" ht="15.75" customHeight="1" x14ac:dyDescent="0.25"/>
    <x:row r="219" spans="1:19" ht="15.75" customHeight="1" x14ac:dyDescent="0.25"/>
    <x:row r="220" spans="1:19" ht="15.75" customHeight="1" x14ac:dyDescent="0.25"/>
    <x:row r="221" spans="1:19" ht="15.75" customHeight="1" x14ac:dyDescent="0.25"/>
    <x:row r="222" spans="1:19" ht="15.75" customHeight="1" x14ac:dyDescent="0.25"/>
    <x:row r="223" spans="1:19" ht="15.75" customHeight="1" x14ac:dyDescent="0.25"/>
    <x:row r="224" spans="1:19" ht="15.75" customHeight="1" x14ac:dyDescent="0.25"/>
    <x:row r="225" spans="1:19" ht="15.75" customHeight="1" x14ac:dyDescent="0.25"/>
    <x:row r="226" spans="1:19" ht="15.75" customHeight="1" x14ac:dyDescent="0.25"/>
    <x:row r="227" spans="1:19" ht="15.75" customHeight="1" x14ac:dyDescent="0.25"/>
    <x:row r="228" spans="1:19" ht="15.75" customHeight="1" x14ac:dyDescent="0.25"/>
    <x:row r="229" spans="1:19" ht="15.75" customHeight="1" x14ac:dyDescent="0.25"/>
    <x:row r="230" spans="1:19" ht="15.75" customHeight="1" x14ac:dyDescent="0.25"/>
    <x:row r="231" spans="1:19" ht="15.75" customHeight="1" x14ac:dyDescent="0.25"/>
    <x:row r="232" spans="1:19" ht="15.75" customHeight="1" x14ac:dyDescent="0.25"/>
    <x:row r="233" spans="1:19" ht="15.75" customHeight="1" x14ac:dyDescent="0.25"/>
    <x:row r="234" spans="1:19" ht="15.75" customHeight="1" x14ac:dyDescent="0.25"/>
    <x:row r="235" spans="1:19" ht="15.75" customHeight="1" x14ac:dyDescent="0.25"/>
    <x:row r="236" spans="1:19" ht="15.75" customHeight="1" x14ac:dyDescent="0.25"/>
    <x:row r="237" spans="1:19" ht="15.75" customHeight="1" x14ac:dyDescent="0.25"/>
    <x:row r="238" spans="1:19" ht="15.75" customHeight="1" x14ac:dyDescent="0.25"/>
    <x:row r="239" spans="1:19" ht="15.75" customHeight="1" x14ac:dyDescent="0.25"/>
    <x:row r="240" spans="1:19" ht="15.75" customHeight="1" x14ac:dyDescent="0.25"/>
    <x:row r="241" spans="1:19" ht="15.75" customHeight="1" x14ac:dyDescent="0.25"/>
    <x:row r="242" spans="1:19" ht="15.75" customHeight="1" x14ac:dyDescent="0.25"/>
    <x:row r="243" spans="1:19" ht="15.75" customHeight="1" x14ac:dyDescent="0.25"/>
    <x:row r="244" spans="1:19" ht="15.75" customHeight="1" x14ac:dyDescent="0.25"/>
    <x:row r="245" spans="1:19" ht="15.75" customHeight="1" x14ac:dyDescent="0.25"/>
    <x:row r="246" spans="1:19" ht="15.75" customHeight="1" x14ac:dyDescent="0.25"/>
    <x:row r="247" spans="1:19" ht="15.75" customHeight="1" x14ac:dyDescent="0.25"/>
    <x:row r="248" spans="1:19" ht="15.75" customHeight="1" x14ac:dyDescent="0.25"/>
    <x:row r="249" spans="1:19" ht="15.75" customHeight="1" x14ac:dyDescent="0.25"/>
    <x:row r="250" spans="1:19" ht="15.75" customHeight="1" x14ac:dyDescent="0.25"/>
    <x:row r="251" spans="1:19" ht="15.75" customHeight="1" x14ac:dyDescent="0.25"/>
    <x:row r="252" spans="1:19" ht="15.75" customHeight="1" x14ac:dyDescent="0.25"/>
    <x:row r="253" spans="1:19" ht="15.75" customHeight="1" x14ac:dyDescent="0.25"/>
    <x:row r="254" spans="1:19" ht="15.75" customHeight="1" x14ac:dyDescent="0.25"/>
    <x:row r="255" spans="1:19" ht="15.75" customHeight="1" x14ac:dyDescent="0.25"/>
    <x:row r="256" spans="1:19" ht="15.75" customHeight="1" x14ac:dyDescent="0.25"/>
    <x:row r="257" spans="1:19" ht="15.75" customHeight="1" x14ac:dyDescent="0.25"/>
    <x:row r="258" spans="1:19" ht="15.75" customHeight="1" x14ac:dyDescent="0.25"/>
    <x:row r="259" spans="1:19" ht="15.75" customHeight="1" x14ac:dyDescent="0.25"/>
    <x:row r="260" spans="1:19" ht="15.75" customHeight="1" x14ac:dyDescent="0.25"/>
    <x:row r="261" spans="1:19" ht="15.75" customHeight="1" x14ac:dyDescent="0.25"/>
    <x:row r="262" spans="1:19" ht="15.75" customHeight="1" x14ac:dyDescent="0.25"/>
    <x:row r="263" spans="1:19" ht="15.75" customHeight="1" x14ac:dyDescent="0.25"/>
    <x:row r="264" spans="1:19" ht="15.75" customHeight="1" x14ac:dyDescent="0.25"/>
    <x:row r="265" spans="1:19" ht="15.75" customHeight="1" x14ac:dyDescent="0.25"/>
    <x:row r="266" spans="1:19" ht="15.75" customHeight="1" x14ac:dyDescent="0.25"/>
    <x:row r="267" spans="1:19" ht="15.75" customHeight="1" x14ac:dyDescent="0.25"/>
    <x:row r="268" spans="1:19" ht="15.75" customHeight="1" x14ac:dyDescent="0.25"/>
    <x:row r="269" spans="1:19" ht="15.75" customHeight="1" x14ac:dyDescent="0.25"/>
    <x:row r="270" spans="1:19" ht="15.75" customHeight="1" x14ac:dyDescent="0.25"/>
    <x:row r="271" spans="1:19" ht="15.75" customHeight="1" x14ac:dyDescent="0.25"/>
    <x:row r="272" spans="1:19" ht="15.75" customHeight="1" x14ac:dyDescent="0.25"/>
    <x:row r="273" spans="1:19" ht="15.75" customHeight="1" x14ac:dyDescent="0.25"/>
    <x:row r="274" spans="1:19" ht="15.75" customHeight="1" x14ac:dyDescent="0.25"/>
    <x:row r="275" spans="1:19" ht="15.75" customHeight="1" x14ac:dyDescent="0.25"/>
    <x:row r="276" spans="1:19" ht="15.75" customHeight="1" x14ac:dyDescent="0.25"/>
    <x:row r="277" spans="1:19" ht="15.75" customHeight="1" x14ac:dyDescent="0.25"/>
    <x:row r="278" spans="1:19" ht="15.75" customHeight="1" x14ac:dyDescent="0.25"/>
    <x:row r="279" spans="1:19" ht="15.75" customHeight="1" x14ac:dyDescent="0.25"/>
    <x:row r="280" spans="1:19" ht="15.75" customHeight="1" x14ac:dyDescent="0.25"/>
    <x:row r="281" spans="1:19" ht="15.75" customHeight="1" x14ac:dyDescent="0.25"/>
    <x:row r="282" spans="1:19" ht="15.75" customHeight="1" x14ac:dyDescent="0.25"/>
    <x:row r="283" spans="1:19" ht="15.75" customHeight="1" x14ac:dyDescent="0.25"/>
    <x:row r="284" spans="1:19" ht="15.75" customHeight="1" x14ac:dyDescent="0.25"/>
    <x:row r="285" spans="1:19" ht="15.75" customHeight="1" x14ac:dyDescent="0.25"/>
    <x:row r="286" spans="1:19" ht="15.75" customHeight="1" x14ac:dyDescent="0.25"/>
    <x:row r="287" spans="1:19" ht="15.75" customHeight="1" x14ac:dyDescent="0.25"/>
    <x:row r="288" spans="1:19" ht="15.75" customHeight="1" x14ac:dyDescent="0.25"/>
    <x:row r="289" spans="1:19" ht="15.75" customHeight="1" x14ac:dyDescent="0.25"/>
    <x:row r="290" spans="1:19" ht="15.75" customHeight="1" x14ac:dyDescent="0.25"/>
    <x:row r="291" spans="1:19" ht="15.75" customHeight="1" x14ac:dyDescent="0.25"/>
    <x:row r="292" spans="1:19" ht="15.75" customHeight="1" x14ac:dyDescent="0.25"/>
    <x:row r="293" spans="1:19" ht="15.75" customHeight="1" x14ac:dyDescent="0.25"/>
    <x:row r="294" spans="1:19" ht="15.75" customHeight="1" x14ac:dyDescent="0.25"/>
    <x:row r="295" spans="1:19" ht="15.75" customHeight="1" x14ac:dyDescent="0.25"/>
    <x:row r="296" spans="1:19" ht="15.75" customHeight="1" x14ac:dyDescent="0.25"/>
    <x:row r="297" spans="1:19" ht="15.75" customHeight="1" x14ac:dyDescent="0.25"/>
    <x:row r="298" spans="1:19" ht="15.75" customHeight="1" x14ac:dyDescent="0.25"/>
    <x:row r="299" spans="1:19" ht="15.75" customHeight="1" x14ac:dyDescent="0.25"/>
    <x:row r="300" spans="1:19" ht="15.75" customHeight="1" x14ac:dyDescent="0.25"/>
    <x:row r="301" spans="1:19" ht="15.75" customHeight="1" x14ac:dyDescent="0.25"/>
    <x:row r="302" spans="1:19" ht="15.75" customHeight="1" x14ac:dyDescent="0.25"/>
    <x:row r="303" spans="1:19" ht="15.75" customHeight="1" x14ac:dyDescent="0.25"/>
    <x:row r="304" spans="1:19" ht="15.75" customHeight="1" x14ac:dyDescent="0.25"/>
    <x:row r="305" spans="1:19" ht="15.75" customHeight="1" x14ac:dyDescent="0.25"/>
    <x:row r="306" spans="1:19" ht="15.75" customHeight="1" x14ac:dyDescent="0.25"/>
    <x:row r="307" spans="1:19" ht="15.75" customHeight="1" x14ac:dyDescent="0.25"/>
    <x:row r="308" spans="1:19" ht="15.75" customHeight="1" x14ac:dyDescent="0.25"/>
    <x:row r="309" spans="1:19" ht="15.75" customHeight="1" x14ac:dyDescent="0.25"/>
    <x:row r="310" spans="1:19" ht="15.75" customHeight="1" x14ac:dyDescent="0.25"/>
    <x:row r="311" spans="1:19" ht="15.75" customHeight="1" x14ac:dyDescent="0.25"/>
    <x:row r="312" spans="1:19" ht="15.75" customHeight="1" x14ac:dyDescent="0.25"/>
    <x:row r="313" spans="1:19" ht="15.75" customHeight="1" x14ac:dyDescent="0.25"/>
    <x:row r="314" spans="1:19" ht="15.75" customHeight="1" x14ac:dyDescent="0.25"/>
    <x:row r="315" spans="1:19" ht="15.75" customHeight="1" x14ac:dyDescent="0.25"/>
    <x:row r="316" spans="1:19" ht="15.75" customHeight="1" x14ac:dyDescent="0.25"/>
    <x:row r="317" spans="1:19" ht="15.75" customHeight="1" x14ac:dyDescent="0.25"/>
    <x:row r="318" spans="1:19" ht="15.75" customHeight="1" x14ac:dyDescent="0.25"/>
    <x:row r="319" spans="1:19" ht="15.75" customHeight="1" x14ac:dyDescent="0.25"/>
    <x:row r="320" spans="1:19" ht="15.75" customHeight="1" x14ac:dyDescent="0.25"/>
    <x:row r="321" spans="1:19" ht="15.75" customHeight="1" x14ac:dyDescent="0.25"/>
    <x:row r="322" spans="1:19" ht="15.75" customHeight="1" x14ac:dyDescent="0.25"/>
    <x:row r="323" spans="1:19" ht="15.75" customHeight="1" x14ac:dyDescent="0.25"/>
    <x:row r="324" spans="1:19" ht="15.75" customHeight="1" x14ac:dyDescent="0.25"/>
    <x:row r="325" spans="1:19" ht="15.75" customHeight="1" x14ac:dyDescent="0.25"/>
    <x:row r="326" spans="1:19" ht="15.75" customHeight="1" x14ac:dyDescent="0.25"/>
    <x:row r="327" spans="1:19" ht="15.75" customHeight="1" x14ac:dyDescent="0.25"/>
    <x:row r="328" spans="1:19" ht="15.75" customHeight="1" x14ac:dyDescent="0.25"/>
    <x:row r="329" spans="1:19" ht="15.75" customHeight="1" x14ac:dyDescent="0.25"/>
    <x:row r="330" spans="1:19" ht="15.75" customHeight="1" x14ac:dyDescent="0.25"/>
    <x:row r="331" spans="1:19" ht="15.75" customHeight="1" x14ac:dyDescent="0.25"/>
    <x:row r="332" spans="1:19" ht="15.75" customHeight="1" x14ac:dyDescent="0.25"/>
    <x:row r="333" spans="1:19" ht="15.75" customHeight="1" x14ac:dyDescent="0.25"/>
    <x:row r="334" spans="1:19" ht="15.75" customHeight="1" x14ac:dyDescent="0.25"/>
    <x:row r="335" spans="1:19" ht="15.75" customHeight="1" x14ac:dyDescent="0.25"/>
    <x:row r="336" spans="1:19" ht="15.75" customHeight="1" x14ac:dyDescent="0.25"/>
    <x:row r="337" spans="1:19" ht="15.75" customHeight="1" x14ac:dyDescent="0.25"/>
    <x:row r="338" spans="1:19" ht="15.75" customHeight="1" x14ac:dyDescent="0.25"/>
    <x:row r="339" spans="1:19" ht="15.75" customHeight="1" x14ac:dyDescent="0.25"/>
    <x:row r="340" spans="1:19" ht="15.75" customHeight="1" x14ac:dyDescent="0.25"/>
    <x:row r="341" spans="1:19" ht="15.75" customHeight="1" x14ac:dyDescent="0.25"/>
    <x:row r="342" spans="1:19" ht="15.75" customHeight="1" x14ac:dyDescent="0.25"/>
    <x:row r="343" spans="1:19" ht="15.75" customHeight="1" x14ac:dyDescent="0.25"/>
    <x:row r="344" spans="1:19" ht="15.75" customHeight="1" x14ac:dyDescent="0.25"/>
    <x:row r="345" spans="1:19" ht="15.75" customHeight="1" x14ac:dyDescent="0.25"/>
    <x:row r="346" spans="1:19" ht="15.75" customHeight="1" x14ac:dyDescent="0.25"/>
    <x:row r="347" spans="1:19" ht="15.75" customHeight="1" x14ac:dyDescent="0.25"/>
    <x:row r="348" spans="1:19" ht="15.75" customHeight="1" x14ac:dyDescent="0.25"/>
    <x:row r="349" spans="1:19" ht="15.75" customHeight="1" x14ac:dyDescent="0.25"/>
    <x:row r="350" spans="1:19" ht="15.75" customHeight="1" x14ac:dyDescent="0.25"/>
    <x:row r="351" spans="1:19" ht="15.75" customHeight="1" x14ac:dyDescent="0.25"/>
    <x:row r="352" spans="1:19" ht="15.75" customHeight="1" x14ac:dyDescent="0.25"/>
    <x:row r="353" spans="1:19" ht="15.75" customHeight="1" x14ac:dyDescent="0.25"/>
    <x:row r="354" spans="1:19" ht="15.75" customHeight="1" x14ac:dyDescent="0.25"/>
    <x:row r="355" spans="1:19" ht="15.75" customHeight="1" x14ac:dyDescent="0.25"/>
    <x:row r="356" spans="1:19" ht="15.75" customHeight="1" x14ac:dyDescent="0.25"/>
    <x:row r="357" spans="1:19" ht="15.75" customHeight="1" x14ac:dyDescent="0.25"/>
    <x:row r="358" spans="1:19" ht="15.75" customHeight="1" x14ac:dyDescent="0.25"/>
    <x:row r="359" spans="1:19" ht="15.75" customHeight="1" x14ac:dyDescent="0.25"/>
    <x:row r="360" spans="1:19" ht="15.75" customHeight="1" x14ac:dyDescent="0.25"/>
    <x:row r="361" spans="1:19" ht="15.75" customHeight="1" x14ac:dyDescent="0.25"/>
    <x:row r="362" spans="1:19" ht="15.75" customHeight="1" x14ac:dyDescent="0.25"/>
    <x:row r="363" spans="1:19" ht="15.75" customHeight="1" x14ac:dyDescent="0.25"/>
    <x:row r="364" spans="1:19" ht="15.75" customHeight="1" x14ac:dyDescent="0.25"/>
    <x:row r="365" spans="1:19" ht="15.75" customHeight="1" x14ac:dyDescent="0.25"/>
    <x:row r="366" spans="1:19" ht="15.75" customHeight="1" x14ac:dyDescent="0.25"/>
    <x:row r="367" spans="1:19" ht="15.75" customHeight="1" x14ac:dyDescent="0.25"/>
    <x:row r="368" spans="1:19" ht="15.75" customHeight="1" x14ac:dyDescent="0.25"/>
    <x:row r="369" spans="1:19" ht="15.75" customHeight="1" x14ac:dyDescent="0.25"/>
    <x:row r="370" spans="1:19" ht="15.75" customHeight="1" x14ac:dyDescent="0.25"/>
    <x:row r="371" spans="1:19" ht="15.75" customHeight="1" x14ac:dyDescent="0.25"/>
    <x:row r="372" spans="1:19" ht="15.75" customHeight="1" x14ac:dyDescent="0.25"/>
    <x:row r="373" spans="1:19" ht="15.75" customHeight="1" x14ac:dyDescent="0.25"/>
    <x:row r="374" spans="1:19" ht="15.75" customHeight="1" x14ac:dyDescent="0.25"/>
    <x:row r="375" spans="1:19" ht="15.75" customHeight="1" x14ac:dyDescent="0.25"/>
    <x:row r="376" spans="1:19" ht="15.75" customHeight="1" x14ac:dyDescent="0.25"/>
    <x:row r="377" spans="1:19" ht="15.75" customHeight="1" x14ac:dyDescent="0.25"/>
    <x:row r="378" spans="1:19" ht="15.75" customHeight="1" x14ac:dyDescent="0.25"/>
    <x:row r="379" spans="1:19" ht="15.75" customHeight="1" x14ac:dyDescent="0.25"/>
    <x:row r="380" spans="1:19" ht="15.75" customHeight="1" x14ac:dyDescent="0.25"/>
    <x:row r="381" spans="1:19" ht="15.75" customHeight="1" x14ac:dyDescent="0.25"/>
    <x:row r="382" spans="1:19" ht="15.75" customHeight="1" x14ac:dyDescent="0.25"/>
    <x:row r="383" spans="1:19" ht="15.75" customHeight="1" x14ac:dyDescent="0.25"/>
    <x:row r="384" spans="1:19" ht="15.75" customHeight="1" x14ac:dyDescent="0.25"/>
    <x:row r="385" spans="1:19" ht="15.75" customHeight="1" x14ac:dyDescent="0.25"/>
    <x:row r="386" spans="1:19" ht="15.75" customHeight="1" x14ac:dyDescent="0.25"/>
    <x:row r="387" spans="1:19" ht="15.75" customHeight="1" x14ac:dyDescent="0.25"/>
    <x:row r="388" spans="1:19" ht="15.75" customHeight="1" x14ac:dyDescent="0.25"/>
    <x:row r="389" spans="1:19" ht="15.75" customHeight="1" x14ac:dyDescent="0.25"/>
    <x:row r="390" spans="1:19" ht="15.75" customHeight="1" x14ac:dyDescent="0.25"/>
    <x:row r="391" spans="1:19" ht="15.75" customHeight="1" x14ac:dyDescent="0.25"/>
    <x:row r="392" spans="1:19" ht="15.75" customHeight="1" x14ac:dyDescent="0.25"/>
    <x:row r="393" spans="1:19" ht="15.75" customHeight="1" x14ac:dyDescent="0.25"/>
    <x:row r="394" spans="1:19" ht="15.75" customHeight="1" x14ac:dyDescent="0.25"/>
    <x:row r="395" spans="1:19" ht="15.75" customHeight="1" x14ac:dyDescent="0.25"/>
    <x:row r="396" spans="1:19" ht="15.75" customHeight="1" x14ac:dyDescent="0.25"/>
    <x:row r="397" spans="1:19" ht="15.75" customHeight="1" x14ac:dyDescent="0.25"/>
    <x:row r="398" spans="1:19" ht="15.75" customHeight="1" x14ac:dyDescent="0.25"/>
    <x:row r="399" spans="1:19" ht="15.75" customHeight="1" x14ac:dyDescent="0.25"/>
    <x:row r="400" spans="1:19" ht="15.75" customHeight="1" x14ac:dyDescent="0.25"/>
    <x:row r="401" spans="1:19" ht="15.75" customHeight="1" x14ac:dyDescent="0.25"/>
    <x:row r="402" spans="1:19" ht="15.75" customHeight="1" x14ac:dyDescent="0.25"/>
    <x:row r="403" spans="1:19" ht="15.75" customHeight="1" x14ac:dyDescent="0.25"/>
    <x:row r="404" spans="1:19" ht="15.75" customHeight="1" x14ac:dyDescent="0.25"/>
    <x:row r="405" spans="1:19" ht="15.75" customHeight="1" x14ac:dyDescent="0.25"/>
    <x:row r="406" spans="1:19" ht="15.75" customHeight="1" x14ac:dyDescent="0.25"/>
    <x:row r="407" spans="1:19" ht="15.75" customHeight="1" x14ac:dyDescent="0.25"/>
    <x:row r="408" spans="1:19" ht="15.75" customHeight="1" x14ac:dyDescent="0.25"/>
    <x:row r="409" spans="1:19" ht="15.75" customHeight="1" x14ac:dyDescent="0.25"/>
    <x:row r="410" spans="1:19" ht="15.75" customHeight="1" x14ac:dyDescent="0.25"/>
    <x:row r="411" spans="1:19" ht="15.75" customHeight="1" x14ac:dyDescent="0.25"/>
    <x:row r="412" spans="1:19" ht="15.75" customHeight="1" x14ac:dyDescent="0.25"/>
    <x:row r="413" spans="1:19" ht="15.75" customHeight="1" x14ac:dyDescent="0.25"/>
    <x:row r="414" spans="1:19" ht="15.75" customHeight="1" x14ac:dyDescent="0.25"/>
    <x:row r="415" spans="1:19" ht="15.75" customHeight="1" x14ac:dyDescent="0.25"/>
    <x:row r="416" spans="1:19" ht="15.75" customHeight="1" x14ac:dyDescent="0.25"/>
    <x:row r="417" spans="1:19" ht="15.75" customHeight="1" x14ac:dyDescent="0.25"/>
    <x:row r="418" spans="1:19" ht="15.75" customHeight="1" x14ac:dyDescent="0.25"/>
    <x:row r="419" spans="1:19" ht="15.75" customHeight="1" x14ac:dyDescent="0.25"/>
    <x:row r="420" spans="1:19" ht="15.75" customHeight="1" x14ac:dyDescent="0.25"/>
    <x:row r="421" spans="1:19" ht="15.75" customHeight="1" x14ac:dyDescent="0.25"/>
    <x:row r="422" spans="1:19" ht="15.75" customHeight="1" x14ac:dyDescent="0.25"/>
    <x:row r="423" spans="1:19" ht="15.75" customHeight="1" x14ac:dyDescent="0.25"/>
    <x:row r="424" spans="1:19" ht="15.75" customHeight="1" x14ac:dyDescent="0.25"/>
    <x:row r="425" spans="1:19" ht="15.75" customHeight="1" x14ac:dyDescent="0.25"/>
    <x:row r="426" spans="1:19" ht="15.75" customHeight="1" x14ac:dyDescent="0.25"/>
    <x:row r="427" spans="1:19" ht="15.75" customHeight="1" x14ac:dyDescent="0.25"/>
    <x:row r="428" spans="1:19" ht="15.75" customHeight="1" x14ac:dyDescent="0.25"/>
    <x:row r="429" spans="1:19" ht="15.75" customHeight="1" x14ac:dyDescent="0.25"/>
    <x:row r="430" spans="1:19" ht="15.75" customHeight="1" x14ac:dyDescent="0.25"/>
    <x:row r="431" spans="1:19" ht="15.75" customHeight="1" x14ac:dyDescent="0.25"/>
    <x:row r="432" spans="1:19" ht="15.75" customHeight="1" x14ac:dyDescent="0.25"/>
    <x:row r="433" spans="1:19" ht="15.75" customHeight="1" x14ac:dyDescent="0.25"/>
    <x:row r="434" spans="1:19" ht="15.75" customHeight="1" x14ac:dyDescent="0.25"/>
    <x:row r="435" spans="1:19" ht="15.75" customHeight="1" x14ac:dyDescent="0.25"/>
    <x:row r="436" spans="1:19" ht="15.75" customHeight="1" x14ac:dyDescent="0.25"/>
    <x:row r="437" spans="1:19" ht="15.75" customHeight="1" x14ac:dyDescent="0.25"/>
    <x:row r="438" spans="1:19" ht="15.75" customHeight="1" x14ac:dyDescent="0.25"/>
    <x:row r="439" spans="1:19" ht="15.75" customHeight="1" x14ac:dyDescent="0.25"/>
    <x:row r="440" spans="1:19" ht="15.75" customHeight="1" x14ac:dyDescent="0.25"/>
    <x:row r="441" spans="1:19" ht="15.75" customHeight="1" x14ac:dyDescent="0.25"/>
    <x:row r="442" spans="1:19" ht="15.75" customHeight="1" x14ac:dyDescent="0.25"/>
    <x:row r="443" spans="1:19" ht="15.75" customHeight="1" x14ac:dyDescent="0.25"/>
    <x:row r="444" spans="1:19" ht="15.75" customHeight="1" x14ac:dyDescent="0.25"/>
    <x:row r="445" spans="1:19" ht="15.75" customHeight="1" x14ac:dyDescent="0.25"/>
    <x:row r="446" spans="1:19" ht="15.75" customHeight="1" x14ac:dyDescent="0.25"/>
    <x:row r="447" spans="1:19" ht="15.75" customHeight="1" x14ac:dyDescent="0.25"/>
    <x:row r="448" spans="1:19" ht="15.75" customHeight="1" x14ac:dyDescent="0.25"/>
    <x:row r="449" spans="1:19" ht="15.75" customHeight="1" x14ac:dyDescent="0.25"/>
    <x:row r="450" spans="1:19" ht="15.75" customHeight="1" x14ac:dyDescent="0.25"/>
    <x:row r="451" spans="1:19" ht="15.75" customHeight="1" x14ac:dyDescent="0.25"/>
    <x:row r="452" spans="1:19" ht="15.75" customHeight="1" x14ac:dyDescent="0.25"/>
    <x:row r="453" spans="1:19" ht="15.75" customHeight="1" x14ac:dyDescent="0.25"/>
    <x:row r="454" spans="1:19" ht="15.75" customHeight="1" x14ac:dyDescent="0.25"/>
    <x:row r="455" spans="1:19" ht="15.75" customHeight="1" x14ac:dyDescent="0.25"/>
    <x:row r="456" spans="1:19" ht="15.75" customHeight="1" x14ac:dyDescent="0.25"/>
    <x:row r="457" spans="1:19" ht="15.75" customHeight="1" x14ac:dyDescent="0.25"/>
    <x:row r="458" spans="1:19" ht="15.75" customHeight="1" x14ac:dyDescent="0.25"/>
    <x:row r="459" spans="1:19" ht="15.75" customHeight="1" x14ac:dyDescent="0.25"/>
    <x:row r="460" spans="1:19" ht="15.75" customHeight="1" x14ac:dyDescent="0.25"/>
    <x:row r="461" spans="1:19" ht="15.75" customHeight="1" x14ac:dyDescent="0.25"/>
    <x:row r="462" spans="1:19" ht="15.75" customHeight="1" x14ac:dyDescent="0.25"/>
    <x:row r="463" spans="1:19" ht="15.75" customHeight="1" x14ac:dyDescent="0.25"/>
    <x:row r="464" spans="1:19" ht="15.75" customHeight="1" x14ac:dyDescent="0.25"/>
    <x:row r="465" spans="1:19" ht="15.75" customHeight="1" x14ac:dyDescent="0.25"/>
    <x:row r="466" spans="1:19" ht="15.75" customHeight="1" x14ac:dyDescent="0.25"/>
    <x:row r="467" spans="1:19" ht="15.75" customHeight="1" x14ac:dyDescent="0.25"/>
    <x:row r="468" spans="1:19" ht="15.75" customHeight="1" x14ac:dyDescent="0.25"/>
    <x:row r="469" spans="1:19" ht="15.75" customHeight="1" x14ac:dyDescent="0.25"/>
    <x:row r="470" spans="1:19" ht="15.75" customHeight="1" x14ac:dyDescent="0.25"/>
    <x:row r="471" spans="1:19" ht="15.75" customHeight="1" x14ac:dyDescent="0.25"/>
    <x:row r="472" spans="1:19" ht="15.75" customHeight="1" x14ac:dyDescent="0.25"/>
    <x:row r="473" spans="1:19" ht="15.75" customHeight="1" x14ac:dyDescent="0.25"/>
    <x:row r="474" spans="1:19" ht="15.75" customHeight="1" x14ac:dyDescent="0.25"/>
    <x:row r="475" spans="1:19" ht="15.75" customHeight="1" x14ac:dyDescent="0.25"/>
    <x:row r="476" spans="1:19" ht="15.75" customHeight="1" x14ac:dyDescent="0.25"/>
    <x:row r="477" spans="1:19" ht="15.75" customHeight="1" x14ac:dyDescent="0.25"/>
    <x:row r="478" spans="1:19" ht="15.75" customHeight="1" x14ac:dyDescent="0.25"/>
    <x:row r="479" spans="1:19" ht="15.75" customHeight="1" x14ac:dyDescent="0.25"/>
    <x:row r="480" spans="1:19" ht="15.75" customHeight="1" x14ac:dyDescent="0.25"/>
    <x:row r="481" spans="1:19" ht="15.75" customHeight="1" x14ac:dyDescent="0.25"/>
    <x:row r="482" spans="1:19" ht="15.75" customHeight="1" x14ac:dyDescent="0.25"/>
    <x:row r="483" spans="1:19" ht="15.75" customHeight="1" x14ac:dyDescent="0.25"/>
    <x:row r="484" spans="1:19" ht="15.75" customHeight="1" x14ac:dyDescent="0.25"/>
    <x:row r="485" spans="1:19" ht="15.75" customHeight="1" x14ac:dyDescent="0.25"/>
    <x:row r="486" spans="1:19" ht="15.75" customHeight="1" x14ac:dyDescent="0.25"/>
    <x:row r="487" spans="1:19" ht="15.75" customHeight="1" x14ac:dyDescent="0.25"/>
    <x:row r="488" spans="1:19" ht="15.75" customHeight="1" x14ac:dyDescent="0.25"/>
    <x:row r="489" spans="1:19" ht="15.75" customHeight="1" x14ac:dyDescent="0.25"/>
    <x:row r="490" spans="1:19" ht="15.75" customHeight="1" x14ac:dyDescent="0.25"/>
    <x:row r="491" spans="1:19" ht="15.75" customHeight="1" x14ac:dyDescent="0.25"/>
    <x:row r="492" spans="1:19" ht="15.75" customHeight="1" x14ac:dyDescent="0.25"/>
    <x:row r="493" spans="1:19" ht="15.75" customHeight="1" x14ac:dyDescent="0.25"/>
    <x:row r="494" spans="1:19" ht="15.75" customHeight="1" x14ac:dyDescent="0.25"/>
    <x:row r="495" spans="1:19" ht="15.75" customHeight="1" x14ac:dyDescent="0.25"/>
    <x:row r="496" spans="1:19" ht="15.75" customHeight="1" x14ac:dyDescent="0.25"/>
    <x:row r="497" spans="1:19" ht="15.75" customHeight="1" x14ac:dyDescent="0.25"/>
    <x:row r="498" spans="1:19" ht="15.75" customHeight="1" x14ac:dyDescent="0.25"/>
    <x:row r="499" spans="1:19" ht="15.75" customHeight="1" x14ac:dyDescent="0.25"/>
    <x:row r="500" spans="1:19" ht="15.75" customHeight="1" x14ac:dyDescent="0.25"/>
    <x:row r="501" spans="1:19" ht="15.75" customHeight="1" x14ac:dyDescent="0.25"/>
    <x:row r="502" spans="1:19" ht="15.75" customHeight="1" x14ac:dyDescent="0.25"/>
    <x:row r="503" spans="1:19" ht="15.75" customHeight="1" x14ac:dyDescent="0.25"/>
    <x:row r="504" spans="1:19" ht="15.75" customHeight="1" x14ac:dyDescent="0.25"/>
    <x:row r="505" spans="1:19" ht="15.75" customHeight="1" x14ac:dyDescent="0.25"/>
    <x:row r="506" spans="1:19" ht="15.75" customHeight="1" x14ac:dyDescent="0.25"/>
    <x:row r="507" spans="1:19" ht="15.75" customHeight="1" x14ac:dyDescent="0.25"/>
    <x:row r="508" spans="1:19" ht="15.75" customHeight="1" x14ac:dyDescent="0.25"/>
    <x:row r="509" spans="1:19" ht="15.75" customHeight="1" x14ac:dyDescent="0.25"/>
    <x:row r="510" spans="1:19" ht="15.75" customHeight="1" x14ac:dyDescent="0.25"/>
    <x:row r="511" spans="1:19" ht="15.75" customHeight="1" x14ac:dyDescent="0.25"/>
    <x:row r="512" spans="1:19" ht="15.75" customHeight="1" x14ac:dyDescent="0.25"/>
    <x:row r="513" spans="1:19" ht="15.75" customHeight="1" x14ac:dyDescent="0.25"/>
    <x:row r="514" spans="1:19" ht="15.75" customHeight="1" x14ac:dyDescent="0.25"/>
    <x:row r="515" spans="1:19" ht="15.75" customHeight="1" x14ac:dyDescent="0.25"/>
    <x:row r="516" spans="1:19" ht="15.75" customHeight="1" x14ac:dyDescent="0.25"/>
    <x:row r="517" spans="1:19" ht="15.75" customHeight="1" x14ac:dyDescent="0.25"/>
    <x:row r="518" spans="1:19" ht="15.75" customHeight="1" x14ac:dyDescent="0.25"/>
    <x:row r="519" spans="1:19" ht="15.75" customHeight="1" x14ac:dyDescent="0.25"/>
    <x:row r="520" spans="1:19" ht="15.75" customHeight="1" x14ac:dyDescent="0.25"/>
    <x:row r="521" spans="1:19" ht="15.75" customHeight="1" x14ac:dyDescent="0.25"/>
    <x:row r="522" spans="1:19" ht="15.75" customHeight="1" x14ac:dyDescent="0.25"/>
    <x:row r="523" spans="1:19" ht="15.75" customHeight="1" x14ac:dyDescent="0.25"/>
    <x:row r="524" spans="1:19" ht="15.75" customHeight="1" x14ac:dyDescent="0.25"/>
    <x:row r="525" spans="1:19" ht="15.75" customHeight="1" x14ac:dyDescent="0.25"/>
    <x:row r="526" spans="1:19" ht="15.75" customHeight="1" x14ac:dyDescent="0.25"/>
    <x:row r="527" spans="1:19" ht="15.75" customHeight="1" x14ac:dyDescent="0.25"/>
    <x:row r="528" spans="1:19" ht="15.75" customHeight="1" x14ac:dyDescent="0.25"/>
    <x:row r="529" spans="1:19" ht="15.75" customHeight="1" x14ac:dyDescent="0.25"/>
    <x:row r="530" spans="1:19" ht="15.75" customHeight="1" x14ac:dyDescent="0.25"/>
    <x:row r="531" spans="1:19" ht="15.75" customHeight="1" x14ac:dyDescent="0.25"/>
    <x:row r="532" spans="1:19" ht="15.75" customHeight="1" x14ac:dyDescent="0.25"/>
    <x:row r="533" spans="1:19" ht="15.75" customHeight="1" x14ac:dyDescent="0.25"/>
    <x:row r="534" spans="1:19" ht="15.75" customHeight="1" x14ac:dyDescent="0.25"/>
    <x:row r="535" spans="1:19" ht="15.75" customHeight="1" x14ac:dyDescent="0.25"/>
    <x:row r="536" spans="1:19" ht="15.75" customHeight="1" x14ac:dyDescent="0.25"/>
    <x:row r="537" spans="1:19" ht="15.75" customHeight="1" x14ac:dyDescent="0.25"/>
    <x:row r="538" spans="1:19" ht="15.75" customHeight="1" x14ac:dyDescent="0.25"/>
    <x:row r="539" spans="1:19" ht="15.75" customHeight="1" x14ac:dyDescent="0.25"/>
    <x:row r="540" spans="1:19" ht="15.75" customHeight="1" x14ac:dyDescent="0.25"/>
    <x:row r="541" spans="1:19" ht="15.75" customHeight="1" x14ac:dyDescent="0.25"/>
    <x:row r="542" spans="1:19" ht="15.75" customHeight="1" x14ac:dyDescent="0.25"/>
    <x:row r="543" spans="1:19" ht="15.75" customHeight="1" x14ac:dyDescent="0.25"/>
    <x:row r="544" spans="1:19" ht="15.75" customHeight="1" x14ac:dyDescent="0.25"/>
    <x:row r="545" spans="1:19" ht="15.75" customHeight="1" x14ac:dyDescent="0.25"/>
    <x:row r="546" spans="1:19" ht="15.75" customHeight="1" x14ac:dyDescent="0.25"/>
    <x:row r="547" spans="1:19" ht="15.75" customHeight="1" x14ac:dyDescent="0.25"/>
    <x:row r="548" spans="1:19" ht="15.75" customHeight="1" x14ac:dyDescent="0.25"/>
    <x:row r="549" spans="1:19" ht="15.75" customHeight="1" x14ac:dyDescent="0.25"/>
    <x:row r="550" spans="1:19" ht="15.75" customHeight="1" x14ac:dyDescent="0.25"/>
    <x:row r="551" spans="1:19" ht="15.75" customHeight="1" x14ac:dyDescent="0.25"/>
    <x:row r="552" spans="1:19" ht="15.75" customHeight="1" x14ac:dyDescent="0.25"/>
    <x:row r="553" spans="1:19" ht="15.75" customHeight="1" x14ac:dyDescent="0.25"/>
    <x:row r="554" spans="1:19" ht="15.75" customHeight="1" x14ac:dyDescent="0.25"/>
    <x:row r="555" spans="1:19" ht="15.75" customHeight="1" x14ac:dyDescent="0.25"/>
    <x:row r="556" spans="1:19" ht="15.75" customHeight="1" x14ac:dyDescent="0.25"/>
    <x:row r="557" spans="1:19" ht="15.75" customHeight="1" x14ac:dyDescent="0.25"/>
    <x:row r="558" spans="1:19" ht="15.75" customHeight="1" x14ac:dyDescent="0.25"/>
    <x:row r="559" spans="1:19" ht="15.75" customHeight="1" x14ac:dyDescent="0.25"/>
    <x:row r="560" spans="1:19" ht="15.75" customHeight="1" x14ac:dyDescent="0.25"/>
    <x:row r="561" spans="1:19" ht="15.75" customHeight="1" x14ac:dyDescent="0.25"/>
    <x:row r="562" spans="1:19" ht="15.75" customHeight="1" x14ac:dyDescent="0.25"/>
    <x:row r="563" spans="1:19" ht="15.75" customHeight="1" x14ac:dyDescent="0.25"/>
    <x:row r="564" spans="1:19" ht="15.75" customHeight="1" x14ac:dyDescent="0.25"/>
    <x:row r="565" spans="1:19" ht="15.75" customHeight="1" x14ac:dyDescent="0.25"/>
    <x:row r="566" spans="1:19" ht="15.75" customHeight="1" x14ac:dyDescent="0.25"/>
    <x:row r="567" spans="1:19" ht="15.75" customHeight="1" x14ac:dyDescent="0.25"/>
    <x:row r="568" spans="1:19" ht="15.75" customHeight="1" x14ac:dyDescent="0.25"/>
    <x:row r="569" spans="1:19" ht="15.75" customHeight="1" x14ac:dyDescent="0.25"/>
    <x:row r="570" spans="1:19" ht="15.75" customHeight="1" x14ac:dyDescent="0.25"/>
    <x:row r="571" spans="1:19" ht="15.75" customHeight="1" x14ac:dyDescent="0.25"/>
    <x:row r="572" spans="1:19" ht="15.75" customHeight="1" x14ac:dyDescent="0.25"/>
    <x:row r="573" spans="1:19" ht="15.75" customHeight="1" x14ac:dyDescent="0.25"/>
    <x:row r="574" spans="1:19" ht="15.75" customHeight="1" x14ac:dyDescent="0.25"/>
    <x:row r="575" spans="1:19" ht="15.75" customHeight="1" x14ac:dyDescent="0.25"/>
    <x:row r="576" spans="1:19" ht="15.75" customHeight="1" x14ac:dyDescent="0.25"/>
    <x:row r="577" spans="1:19" ht="15.75" customHeight="1" x14ac:dyDescent="0.25"/>
    <x:row r="578" spans="1:19" ht="15.75" customHeight="1" x14ac:dyDescent="0.25"/>
    <x:row r="579" spans="1:19" ht="15.75" customHeight="1" x14ac:dyDescent="0.25"/>
    <x:row r="580" spans="1:19" ht="15.75" customHeight="1" x14ac:dyDescent="0.25"/>
    <x:row r="581" spans="1:19" ht="15.75" customHeight="1" x14ac:dyDescent="0.25"/>
    <x:row r="582" spans="1:19" ht="15.75" customHeight="1" x14ac:dyDescent="0.25"/>
    <x:row r="583" spans="1:19" ht="15.75" customHeight="1" x14ac:dyDescent="0.25"/>
    <x:row r="584" spans="1:19" ht="15.75" customHeight="1" x14ac:dyDescent="0.25"/>
    <x:row r="585" spans="1:19" ht="15.75" customHeight="1" x14ac:dyDescent="0.25"/>
    <x:row r="586" spans="1:19" ht="15.75" customHeight="1" x14ac:dyDescent="0.25"/>
    <x:row r="587" spans="1:19" ht="15.75" customHeight="1" x14ac:dyDescent="0.25"/>
    <x:row r="588" spans="1:19" ht="15.75" customHeight="1" x14ac:dyDescent="0.25"/>
    <x:row r="589" spans="1:19" ht="15.75" customHeight="1" x14ac:dyDescent="0.25"/>
    <x:row r="590" spans="1:19" ht="15.75" customHeight="1" x14ac:dyDescent="0.25"/>
    <x:row r="591" spans="1:19" ht="15.75" customHeight="1" x14ac:dyDescent="0.25"/>
    <x:row r="592" spans="1:19" ht="15.75" customHeight="1" x14ac:dyDescent="0.25"/>
    <x:row r="593" spans="1:19" ht="15.75" customHeight="1" x14ac:dyDescent="0.25"/>
    <x:row r="594" spans="1:19" ht="15.75" customHeight="1" x14ac:dyDescent="0.25"/>
    <x:row r="595" spans="1:19" ht="15.75" customHeight="1" x14ac:dyDescent="0.25"/>
    <x:row r="596" spans="1:19" ht="15.75" customHeight="1" x14ac:dyDescent="0.25"/>
    <x:row r="597" spans="1:19" ht="15.75" customHeight="1" x14ac:dyDescent="0.25"/>
    <x:row r="598" spans="1:19" ht="15.75" customHeight="1" x14ac:dyDescent="0.25"/>
    <x:row r="599" spans="1:19" ht="15.75" customHeight="1" x14ac:dyDescent="0.25"/>
    <x:row r="600" spans="1:19" ht="15.75" customHeight="1" x14ac:dyDescent="0.25"/>
    <x:row r="601" spans="1:19" ht="15.75" customHeight="1" x14ac:dyDescent="0.25"/>
    <x:row r="602" spans="1:19" ht="15.75" customHeight="1" x14ac:dyDescent="0.25"/>
    <x:row r="603" spans="1:19" ht="15.75" customHeight="1" x14ac:dyDescent="0.25"/>
    <x:row r="604" spans="1:19" ht="15.75" customHeight="1" x14ac:dyDescent="0.25"/>
    <x:row r="605" spans="1:19" ht="15.75" customHeight="1" x14ac:dyDescent="0.25"/>
    <x:row r="606" spans="1:19" ht="15.75" customHeight="1" x14ac:dyDescent="0.25"/>
    <x:row r="607" spans="1:19" ht="15.75" customHeight="1" x14ac:dyDescent="0.25"/>
    <x:row r="608" spans="1:19" ht="15.75" customHeight="1" x14ac:dyDescent="0.25"/>
    <x:row r="609" spans="1:19" ht="15.75" customHeight="1" x14ac:dyDescent="0.25"/>
    <x:row r="610" spans="1:19" ht="15.75" customHeight="1" x14ac:dyDescent="0.25"/>
    <x:row r="611" spans="1:19" ht="15.75" customHeight="1" x14ac:dyDescent="0.25"/>
    <x:row r="612" spans="1:19" ht="15.75" customHeight="1" x14ac:dyDescent="0.25"/>
    <x:row r="613" spans="1:19" ht="15.75" customHeight="1" x14ac:dyDescent="0.25"/>
    <x:row r="614" spans="1:19" ht="15.75" customHeight="1" x14ac:dyDescent="0.25"/>
    <x:row r="615" spans="1:19" ht="15.75" customHeight="1" x14ac:dyDescent="0.25"/>
    <x:row r="616" spans="1:19" ht="15.75" customHeight="1" x14ac:dyDescent="0.25"/>
    <x:row r="617" spans="1:19" ht="15.75" customHeight="1" x14ac:dyDescent="0.25"/>
    <x:row r="618" spans="1:19" ht="15.75" customHeight="1" x14ac:dyDescent="0.25"/>
    <x:row r="619" spans="1:19" ht="15.75" customHeight="1" x14ac:dyDescent="0.25"/>
    <x:row r="620" spans="1:19" ht="15.75" customHeight="1" x14ac:dyDescent="0.25"/>
    <x:row r="621" spans="1:19" ht="15.75" customHeight="1" x14ac:dyDescent="0.25"/>
    <x:row r="622" spans="1:19" ht="15.75" customHeight="1" x14ac:dyDescent="0.25"/>
    <x:row r="623" spans="1:19" ht="15.75" customHeight="1" x14ac:dyDescent="0.25"/>
    <x:row r="624" spans="1:19" ht="15.75" customHeight="1" x14ac:dyDescent="0.25"/>
    <x:row r="625" spans="1:19" ht="15.75" customHeight="1" x14ac:dyDescent="0.25"/>
    <x:row r="626" spans="1:19" ht="15.75" customHeight="1" x14ac:dyDescent="0.25"/>
    <x:row r="627" spans="1:19" ht="15.75" customHeight="1" x14ac:dyDescent="0.25"/>
    <x:row r="628" spans="1:19" ht="15.75" customHeight="1" x14ac:dyDescent="0.25"/>
    <x:row r="629" spans="1:19" ht="15.75" customHeight="1" x14ac:dyDescent="0.25"/>
    <x:row r="630" spans="1:19" ht="15.75" customHeight="1" x14ac:dyDescent="0.25"/>
    <x:row r="631" spans="1:19" ht="15.75" customHeight="1" x14ac:dyDescent="0.25"/>
    <x:row r="632" spans="1:19" ht="15.75" customHeight="1" x14ac:dyDescent="0.25"/>
    <x:row r="633" spans="1:19" ht="15.75" customHeight="1" x14ac:dyDescent="0.25"/>
    <x:row r="634" spans="1:19" ht="15.75" customHeight="1" x14ac:dyDescent="0.25"/>
    <x:row r="635" spans="1:19" ht="15.75" customHeight="1" x14ac:dyDescent="0.25"/>
    <x:row r="636" spans="1:19" ht="15.75" customHeight="1" x14ac:dyDescent="0.25"/>
    <x:row r="637" spans="1:19" ht="15.75" customHeight="1" x14ac:dyDescent="0.25"/>
    <x:row r="638" spans="1:19" ht="15.75" customHeight="1" x14ac:dyDescent="0.25"/>
    <x:row r="639" spans="1:19" ht="15.75" customHeight="1" x14ac:dyDescent="0.25"/>
    <x:row r="640" spans="1:19" ht="15.75" customHeight="1" x14ac:dyDescent="0.25"/>
    <x:row r="641" spans="1:19" ht="15.75" customHeight="1" x14ac:dyDescent="0.25"/>
    <x:row r="642" spans="1:19" ht="15.75" customHeight="1" x14ac:dyDescent="0.25"/>
    <x:row r="643" spans="1:19" ht="15.75" customHeight="1" x14ac:dyDescent="0.25"/>
    <x:row r="644" spans="1:19" ht="15.75" customHeight="1" x14ac:dyDescent="0.25"/>
    <x:row r="645" spans="1:19" ht="15.75" customHeight="1" x14ac:dyDescent="0.25"/>
    <x:row r="646" spans="1:19" ht="15.75" customHeight="1" x14ac:dyDescent="0.25"/>
    <x:row r="647" spans="1:19" ht="15.75" customHeight="1" x14ac:dyDescent="0.25"/>
    <x:row r="648" spans="1:19" ht="15.75" customHeight="1" x14ac:dyDescent="0.25"/>
    <x:row r="649" spans="1:19" ht="15.75" customHeight="1" x14ac:dyDescent="0.25"/>
    <x:row r="650" spans="1:19" ht="15.75" customHeight="1" x14ac:dyDescent="0.25"/>
    <x:row r="651" spans="1:19" ht="15.75" customHeight="1" x14ac:dyDescent="0.25"/>
    <x:row r="652" spans="1:19" ht="15.75" customHeight="1" x14ac:dyDescent="0.25"/>
    <x:row r="653" spans="1:19" ht="15.75" customHeight="1" x14ac:dyDescent="0.25"/>
    <x:row r="654" spans="1:19" ht="15.75" customHeight="1" x14ac:dyDescent="0.25"/>
    <x:row r="655" spans="1:19" ht="15.75" customHeight="1" x14ac:dyDescent="0.25"/>
    <x:row r="656" spans="1:19" ht="15.75" customHeight="1" x14ac:dyDescent="0.25"/>
    <x:row r="657" spans="1:19" ht="15.75" customHeight="1" x14ac:dyDescent="0.25"/>
    <x:row r="658" spans="1:19" ht="15.75" customHeight="1" x14ac:dyDescent="0.25"/>
    <x:row r="659" spans="1:19" ht="15.75" customHeight="1" x14ac:dyDescent="0.25"/>
    <x:row r="660" spans="1:19" ht="15.75" customHeight="1" x14ac:dyDescent="0.25"/>
    <x:row r="661" spans="1:19" ht="15.75" customHeight="1" x14ac:dyDescent="0.25"/>
    <x:row r="662" spans="1:19" ht="15.75" customHeight="1" x14ac:dyDescent="0.25"/>
    <x:row r="663" spans="1:19" ht="15.75" customHeight="1" x14ac:dyDescent="0.25"/>
    <x:row r="664" spans="1:19" ht="15.75" customHeight="1" x14ac:dyDescent="0.25"/>
    <x:row r="665" spans="1:19" ht="15.75" customHeight="1" x14ac:dyDescent="0.25"/>
    <x:row r="666" spans="1:19" ht="15.75" customHeight="1" x14ac:dyDescent="0.25"/>
    <x:row r="667" spans="1:19" ht="15.75" customHeight="1" x14ac:dyDescent="0.25"/>
    <x:row r="668" spans="1:19" ht="15.75" customHeight="1" x14ac:dyDescent="0.25"/>
    <x:row r="669" spans="1:19" ht="15.75" customHeight="1" x14ac:dyDescent="0.25"/>
    <x:row r="670" spans="1:19" ht="15.75" customHeight="1" x14ac:dyDescent="0.25"/>
    <x:row r="671" spans="1:19" ht="15.75" customHeight="1" x14ac:dyDescent="0.25"/>
    <x:row r="672" spans="1:19" ht="15.75" customHeight="1" x14ac:dyDescent="0.25"/>
    <x:row r="673" spans="1:19" ht="15.75" customHeight="1" x14ac:dyDescent="0.25"/>
    <x:row r="674" spans="1:19" ht="15.75" customHeight="1" x14ac:dyDescent="0.25"/>
    <x:row r="675" spans="1:19" ht="15.75" customHeight="1" x14ac:dyDescent="0.25"/>
    <x:row r="676" spans="1:19" ht="15.75" customHeight="1" x14ac:dyDescent="0.25"/>
    <x:row r="677" spans="1:19" ht="15.75" customHeight="1" x14ac:dyDescent="0.25"/>
    <x:row r="678" spans="1:19" ht="15.75" customHeight="1" x14ac:dyDescent="0.25"/>
    <x:row r="679" spans="1:19" ht="15.75" customHeight="1" x14ac:dyDescent="0.25"/>
    <x:row r="680" spans="1:19" ht="15.75" customHeight="1" x14ac:dyDescent="0.25"/>
    <x:row r="681" spans="1:19" ht="15.75" customHeight="1" x14ac:dyDescent="0.25"/>
    <x:row r="682" spans="1:19" ht="15.75" customHeight="1" x14ac:dyDescent="0.25"/>
    <x:row r="683" spans="1:19" ht="15.75" customHeight="1" x14ac:dyDescent="0.25"/>
    <x:row r="684" spans="1:19" ht="15.75" customHeight="1" x14ac:dyDescent="0.25"/>
    <x:row r="685" spans="1:19" ht="15.75" customHeight="1" x14ac:dyDescent="0.25"/>
    <x:row r="686" spans="1:19" ht="15.75" customHeight="1" x14ac:dyDescent="0.25"/>
    <x:row r="687" spans="1:19" ht="15.75" customHeight="1" x14ac:dyDescent="0.25"/>
    <x:row r="688" spans="1:19" ht="15.75" customHeight="1" x14ac:dyDescent="0.25"/>
    <x:row r="689" spans="1:19" ht="15.75" customHeight="1" x14ac:dyDescent="0.25"/>
    <x:row r="690" spans="1:19" ht="15.75" customHeight="1" x14ac:dyDescent="0.25"/>
    <x:row r="691" spans="1:19" ht="15.75" customHeight="1" x14ac:dyDescent="0.25"/>
    <x:row r="692" spans="1:19" ht="15.75" customHeight="1" x14ac:dyDescent="0.25"/>
    <x:row r="693" spans="1:19" ht="15.75" customHeight="1" x14ac:dyDescent="0.25"/>
    <x:row r="694" spans="1:19" ht="15.75" customHeight="1" x14ac:dyDescent="0.25"/>
    <x:row r="695" spans="1:19" ht="15.75" customHeight="1" x14ac:dyDescent="0.25"/>
    <x:row r="696" spans="1:19" ht="15.75" customHeight="1" x14ac:dyDescent="0.25"/>
    <x:row r="697" spans="1:19" ht="15.75" customHeight="1" x14ac:dyDescent="0.25"/>
    <x:row r="698" spans="1:19" ht="15.75" customHeight="1" x14ac:dyDescent="0.25"/>
    <x:row r="699" spans="1:19" ht="15.75" customHeight="1" x14ac:dyDescent="0.25"/>
    <x:row r="700" spans="1:19" ht="15.75" customHeight="1" x14ac:dyDescent="0.25"/>
    <x:row r="701" spans="1:19" ht="15.75" customHeight="1" x14ac:dyDescent="0.25"/>
    <x:row r="702" spans="1:19" ht="15.75" customHeight="1" x14ac:dyDescent="0.25"/>
    <x:row r="703" spans="1:19" ht="15.75" customHeight="1" x14ac:dyDescent="0.25"/>
    <x:row r="704" spans="1:19" ht="15.75" customHeight="1" x14ac:dyDescent="0.25"/>
    <x:row r="705" spans="1:19" ht="15.75" customHeight="1" x14ac:dyDescent="0.25"/>
    <x:row r="706" spans="1:19" ht="15.75" customHeight="1" x14ac:dyDescent="0.25"/>
    <x:row r="707" spans="1:19" ht="15.75" customHeight="1" x14ac:dyDescent="0.25"/>
    <x:row r="708" spans="1:19" ht="15.75" customHeight="1" x14ac:dyDescent="0.25"/>
    <x:row r="709" spans="1:19" ht="15.75" customHeight="1" x14ac:dyDescent="0.25"/>
    <x:row r="710" spans="1:19" ht="15.75" customHeight="1" x14ac:dyDescent="0.25"/>
    <x:row r="711" spans="1:19" ht="15.75" customHeight="1" x14ac:dyDescent="0.25"/>
    <x:row r="712" spans="1:19" ht="15.75" customHeight="1" x14ac:dyDescent="0.25"/>
    <x:row r="713" spans="1:19" ht="15.75" customHeight="1" x14ac:dyDescent="0.25"/>
    <x:row r="714" spans="1:19" ht="15.75" customHeight="1" x14ac:dyDescent="0.25"/>
    <x:row r="715" spans="1:19" ht="15.75" customHeight="1" x14ac:dyDescent="0.25"/>
    <x:row r="716" spans="1:19" ht="15.75" customHeight="1" x14ac:dyDescent="0.25"/>
    <x:row r="717" spans="1:19" ht="15.75" customHeight="1" x14ac:dyDescent="0.25"/>
    <x:row r="718" spans="1:19" ht="15.75" customHeight="1" x14ac:dyDescent="0.25"/>
    <x:row r="719" spans="1:19" ht="15.75" customHeight="1" x14ac:dyDescent="0.25"/>
    <x:row r="720" spans="1:19" ht="15.75" customHeight="1" x14ac:dyDescent="0.25"/>
    <x:row r="721" spans="1:19" ht="15.75" customHeight="1" x14ac:dyDescent="0.25"/>
    <x:row r="722" spans="1:19" ht="15.75" customHeight="1" x14ac:dyDescent="0.25"/>
    <x:row r="723" spans="1:19" ht="15.75" customHeight="1" x14ac:dyDescent="0.25"/>
    <x:row r="724" spans="1:19" ht="15.75" customHeight="1" x14ac:dyDescent="0.25"/>
    <x:row r="725" spans="1:19" ht="15.75" customHeight="1" x14ac:dyDescent="0.25"/>
    <x:row r="726" spans="1:19" ht="15.75" customHeight="1" x14ac:dyDescent="0.25"/>
    <x:row r="727" spans="1:19" ht="15.75" customHeight="1" x14ac:dyDescent="0.25"/>
    <x:row r="728" spans="1:19" ht="15.75" customHeight="1" x14ac:dyDescent="0.25"/>
    <x:row r="729" spans="1:19" ht="15.75" customHeight="1" x14ac:dyDescent="0.25"/>
    <x:row r="730" spans="1:19" ht="15.75" customHeight="1" x14ac:dyDescent="0.25"/>
    <x:row r="731" spans="1:19" ht="15.75" customHeight="1" x14ac:dyDescent="0.25"/>
    <x:row r="732" spans="1:19" ht="15.75" customHeight="1" x14ac:dyDescent="0.25"/>
    <x:row r="733" spans="1:19" ht="15.75" customHeight="1" x14ac:dyDescent="0.25"/>
    <x:row r="734" spans="1:19" ht="15.75" customHeight="1" x14ac:dyDescent="0.25"/>
    <x:row r="735" spans="1:19" ht="15.75" customHeight="1" x14ac:dyDescent="0.25"/>
    <x:row r="736" spans="1:19" ht="15.75" customHeight="1" x14ac:dyDescent="0.25"/>
    <x:row r="737" spans="1:19" ht="15.75" customHeight="1" x14ac:dyDescent="0.25"/>
    <x:row r="738" spans="1:19" ht="15.75" customHeight="1" x14ac:dyDescent="0.25"/>
    <x:row r="739" spans="1:19" ht="15.75" customHeight="1" x14ac:dyDescent="0.25"/>
    <x:row r="740" spans="1:19" ht="15.75" customHeight="1" x14ac:dyDescent="0.25"/>
    <x:row r="741" spans="1:19" ht="15.75" customHeight="1" x14ac:dyDescent="0.25"/>
    <x:row r="742" spans="1:19" ht="15.75" customHeight="1" x14ac:dyDescent="0.25"/>
    <x:row r="743" spans="1:19" ht="15.75" customHeight="1" x14ac:dyDescent="0.25"/>
    <x:row r="744" spans="1:19" ht="15.75" customHeight="1" x14ac:dyDescent="0.25"/>
    <x:row r="745" spans="1:19" ht="15.75" customHeight="1" x14ac:dyDescent="0.25"/>
    <x:row r="746" spans="1:19" ht="15.75" customHeight="1" x14ac:dyDescent="0.25"/>
    <x:row r="747" spans="1:19" ht="15.75" customHeight="1" x14ac:dyDescent="0.25"/>
    <x:row r="748" spans="1:19" ht="15.75" customHeight="1" x14ac:dyDescent="0.25"/>
    <x:row r="749" spans="1:19" ht="15.75" customHeight="1" x14ac:dyDescent="0.25"/>
    <x:row r="750" spans="1:19" ht="15.75" customHeight="1" x14ac:dyDescent="0.25"/>
    <x:row r="751" spans="1:19" ht="15.75" customHeight="1" x14ac:dyDescent="0.25"/>
    <x:row r="752" spans="1:19" ht="15.75" customHeight="1" x14ac:dyDescent="0.25"/>
    <x:row r="753" spans="1:19" ht="15.75" customHeight="1" x14ac:dyDescent="0.25"/>
    <x:row r="754" spans="1:19" ht="15.75" customHeight="1" x14ac:dyDescent="0.25"/>
    <x:row r="755" spans="1:19" ht="15.75" customHeight="1" x14ac:dyDescent="0.25"/>
    <x:row r="756" spans="1:19" ht="15.75" customHeight="1" x14ac:dyDescent="0.25"/>
    <x:row r="757" spans="1:19" ht="15.75" customHeight="1" x14ac:dyDescent="0.25"/>
    <x:row r="758" spans="1:19" ht="15.75" customHeight="1" x14ac:dyDescent="0.25"/>
    <x:row r="759" spans="1:19" ht="15.75" customHeight="1" x14ac:dyDescent="0.25"/>
    <x:row r="760" spans="1:19" ht="15.75" customHeight="1" x14ac:dyDescent="0.25"/>
    <x:row r="761" spans="1:19" ht="15.75" customHeight="1" x14ac:dyDescent="0.25"/>
    <x:row r="762" spans="1:19" ht="15.75" customHeight="1" x14ac:dyDescent="0.25"/>
    <x:row r="763" spans="1:19" ht="15.75" customHeight="1" x14ac:dyDescent="0.25"/>
    <x:row r="764" spans="1:19" ht="15.75" customHeight="1" x14ac:dyDescent="0.25"/>
    <x:row r="765" spans="1:19" ht="15.75" customHeight="1" x14ac:dyDescent="0.25"/>
    <x:row r="766" spans="1:19" ht="15.75" customHeight="1" x14ac:dyDescent="0.25"/>
    <x:row r="767" spans="1:19" ht="15.75" customHeight="1" x14ac:dyDescent="0.25"/>
    <x:row r="768" spans="1:19" ht="15.75" customHeight="1" x14ac:dyDescent="0.25"/>
    <x:row r="769" spans="1:19" ht="15.75" customHeight="1" x14ac:dyDescent="0.25"/>
    <x:row r="770" spans="1:19" ht="15.75" customHeight="1" x14ac:dyDescent="0.25"/>
    <x:row r="771" spans="1:19" ht="15.75" customHeight="1" x14ac:dyDescent="0.25"/>
    <x:row r="772" spans="1:19" ht="15.75" customHeight="1" x14ac:dyDescent="0.25"/>
    <x:row r="773" spans="1:19" ht="15.75" customHeight="1" x14ac:dyDescent="0.25"/>
    <x:row r="774" spans="1:19" ht="15.75" customHeight="1" x14ac:dyDescent="0.25"/>
    <x:row r="775" spans="1:19" ht="15.75" customHeight="1" x14ac:dyDescent="0.25"/>
    <x:row r="776" spans="1:19" ht="15.75" customHeight="1" x14ac:dyDescent="0.25"/>
    <x:row r="777" spans="1:19" ht="15.75" customHeight="1" x14ac:dyDescent="0.25"/>
    <x:row r="778" spans="1:19" ht="15.75" customHeight="1" x14ac:dyDescent="0.25"/>
    <x:row r="779" spans="1:19" ht="15.75" customHeight="1" x14ac:dyDescent="0.25"/>
    <x:row r="780" spans="1:19" ht="15.75" customHeight="1" x14ac:dyDescent="0.25"/>
    <x:row r="781" spans="1:19" ht="15.75" customHeight="1" x14ac:dyDescent="0.25"/>
    <x:row r="782" spans="1:19" ht="15.75" customHeight="1" x14ac:dyDescent="0.25"/>
    <x:row r="783" spans="1:19" ht="15.75" customHeight="1" x14ac:dyDescent="0.25"/>
    <x:row r="784" spans="1:19" ht="15.75" customHeight="1" x14ac:dyDescent="0.25"/>
    <x:row r="785" spans="1:19" ht="15.75" customHeight="1" x14ac:dyDescent="0.25"/>
    <x:row r="786" spans="1:19" ht="15.75" customHeight="1" x14ac:dyDescent="0.25"/>
    <x:row r="787" spans="1:19" ht="15.75" customHeight="1" x14ac:dyDescent="0.25"/>
    <x:row r="788" spans="1:19" ht="15.75" customHeight="1" x14ac:dyDescent="0.25"/>
    <x:row r="789" spans="1:19" ht="15.75" customHeight="1" x14ac:dyDescent="0.25"/>
    <x:row r="790" spans="1:19" ht="15.75" customHeight="1" x14ac:dyDescent="0.25"/>
    <x:row r="791" spans="1:19" ht="15.75" customHeight="1" x14ac:dyDescent="0.25"/>
    <x:row r="792" spans="1:19" ht="15.75" customHeight="1" x14ac:dyDescent="0.25"/>
    <x:row r="793" spans="1:19" ht="15.75" customHeight="1" x14ac:dyDescent="0.25"/>
    <x:row r="794" spans="1:19" ht="15.75" customHeight="1" x14ac:dyDescent="0.25"/>
    <x:row r="795" spans="1:19" ht="15.75" customHeight="1" x14ac:dyDescent="0.25"/>
    <x:row r="796" spans="1:19" ht="15.75" customHeight="1" x14ac:dyDescent="0.25"/>
    <x:row r="797" spans="1:19" ht="15.75" customHeight="1" x14ac:dyDescent="0.25"/>
    <x:row r="798" spans="1:19" ht="15.75" customHeight="1" x14ac:dyDescent="0.25"/>
    <x:row r="799" spans="1:19" ht="15.75" customHeight="1" x14ac:dyDescent="0.25"/>
    <x:row r="800" spans="1:19" ht="15.75" customHeight="1" x14ac:dyDescent="0.25"/>
    <x:row r="801" spans="1:19" ht="15.75" customHeight="1" x14ac:dyDescent="0.25"/>
    <x:row r="802" spans="1:19" ht="15.75" customHeight="1" x14ac:dyDescent="0.25"/>
    <x:row r="803" spans="1:19" ht="15.75" customHeight="1" x14ac:dyDescent="0.25"/>
    <x:row r="804" spans="1:19" ht="15.75" customHeight="1" x14ac:dyDescent="0.25"/>
    <x:row r="805" spans="1:19" ht="15.75" customHeight="1" x14ac:dyDescent="0.25"/>
    <x:row r="806" spans="1:19" ht="15.75" customHeight="1" x14ac:dyDescent="0.25"/>
    <x:row r="807" spans="1:19" ht="15.75" customHeight="1" x14ac:dyDescent="0.25"/>
    <x:row r="808" spans="1:19" ht="15.75" customHeight="1" x14ac:dyDescent="0.25"/>
    <x:row r="809" spans="1:19" ht="15.75" customHeight="1" x14ac:dyDescent="0.25"/>
    <x:row r="810" spans="1:19" ht="15.75" customHeight="1" x14ac:dyDescent="0.25"/>
    <x:row r="811" spans="1:19" ht="15.75" customHeight="1" x14ac:dyDescent="0.25"/>
    <x:row r="812" spans="1:19" ht="15.75" customHeight="1" x14ac:dyDescent="0.25"/>
    <x:row r="813" spans="1:19" ht="15.75" customHeight="1" x14ac:dyDescent="0.25"/>
    <x:row r="814" spans="1:19" ht="15.75" customHeight="1" x14ac:dyDescent="0.25"/>
    <x:row r="815" spans="1:19" ht="15.75" customHeight="1" x14ac:dyDescent="0.25"/>
    <x:row r="816" spans="1:19" ht="15.75" customHeight="1" x14ac:dyDescent="0.25"/>
    <x:row r="817" spans="1:19" ht="15.75" customHeight="1" x14ac:dyDescent="0.25"/>
    <x:row r="818" spans="1:19" ht="15.75" customHeight="1" x14ac:dyDescent="0.25"/>
    <x:row r="819" spans="1:19" ht="15.75" customHeight="1" x14ac:dyDescent="0.25"/>
    <x:row r="820" spans="1:19" ht="15.75" customHeight="1" x14ac:dyDescent="0.25"/>
    <x:row r="821" spans="1:19" ht="15.75" customHeight="1" x14ac:dyDescent="0.25"/>
    <x:row r="822" spans="1:19" ht="15.75" customHeight="1" x14ac:dyDescent="0.25"/>
    <x:row r="823" spans="1:19" ht="15.75" customHeight="1" x14ac:dyDescent="0.25"/>
    <x:row r="824" spans="1:19" ht="15.75" customHeight="1" x14ac:dyDescent="0.25"/>
    <x:row r="825" spans="1:19" ht="15.75" customHeight="1" x14ac:dyDescent="0.25"/>
    <x:row r="826" spans="1:19" ht="15.75" customHeight="1" x14ac:dyDescent="0.25"/>
    <x:row r="827" spans="1:19" ht="15.75" customHeight="1" x14ac:dyDescent="0.25"/>
    <x:row r="828" spans="1:19" ht="15.75" customHeight="1" x14ac:dyDescent="0.25"/>
    <x:row r="829" spans="1:19" ht="15.75" customHeight="1" x14ac:dyDescent="0.25"/>
    <x:row r="830" spans="1:19" ht="15.75" customHeight="1" x14ac:dyDescent="0.25"/>
    <x:row r="831" spans="1:19" ht="15.75" customHeight="1" x14ac:dyDescent="0.25"/>
    <x:row r="832" spans="1:19" ht="15.75" customHeight="1" x14ac:dyDescent="0.25"/>
    <x:row r="833" spans="1:19" ht="15.75" customHeight="1" x14ac:dyDescent="0.25"/>
    <x:row r="834" spans="1:19" ht="15.75" customHeight="1" x14ac:dyDescent="0.25"/>
    <x:row r="835" spans="1:19" ht="15.75" customHeight="1" x14ac:dyDescent="0.25"/>
    <x:row r="836" spans="1:19" ht="15.75" customHeight="1" x14ac:dyDescent="0.25"/>
    <x:row r="837" spans="1:19" ht="15.75" customHeight="1" x14ac:dyDescent="0.25"/>
    <x:row r="838" spans="1:19" ht="15.75" customHeight="1" x14ac:dyDescent="0.25"/>
    <x:row r="839" spans="1:19" ht="15.75" customHeight="1" x14ac:dyDescent="0.25"/>
    <x:row r="840" spans="1:19" ht="15.75" customHeight="1" x14ac:dyDescent="0.25"/>
    <x:row r="841" spans="1:19" ht="15.75" customHeight="1" x14ac:dyDescent="0.25"/>
    <x:row r="842" spans="1:19" ht="15.75" customHeight="1" x14ac:dyDescent="0.25"/>
    <x:row r="843" spans="1:19" ht="15.75" customHeight="1" x14ac:dyDescent="0.25"/>
    <x:row r="844" spans="1:19" ht="15.75" customHeight="1" x14ac:dyDescent="0.25"/>
    <x:row r="845" spans="1:19" ht="15.75" customHeight="1" x14ac:dyDescent="0.25"/>
    <x:row r="846" spans="1:19" ht="15.75" customHeight="1" x14ac:dyDescent="0.25"/>
    <x:row r="847" spans="1:19" ht="15.75" customHeight="1" x14ac:dyDescent="0.25"/>
    <x:row r="848" spans="1:19" ht="15.75" customHeight="1" x14ac:dyDescent="0.25"/>
    <x:row r="849" spans="1:19" ht="15.75" customHeight="1" x14ac:dyDescent="0.25"/>
    <x:row r="850" spans="1:19" ht="15.75" customHeight="1" x14ac:dyDescent="0.25"/>
    <x:row r="851" spans="1:19" ht="15.75" customHeight="1" x14ac:dyDescent="0.25"/>
    <x:row r="852" spans="1:19" ht="15.75" customHeight="1" x14ac:dyDescent="0.25"/>
    <x:row r="853" spans="1:19" ht="15.75" customHeight="1" x14ac:dyDescent="0.25"/>
    <x:row r="854" spans="1:19" ht="15.75" customHeight="1" x14ac:dyDescent="0.25"/>
    <x:row r="855" spans="1:19" ht="15.75" customHeight="1" x14ac:dyDescent="0.25"/>
    <x:row r="856" spans="1:19" ht="15.75" customHeight="1" x14ac:dyDescent="0.25"/>
    <x:row r="857" spans="1:19" ht="15.75" customHeight="1" x14ac:dyDescent="0.25"/>
    <x:row r="858" spans="1:19" ht="15.75" customHeight="1" x14ac:dyDescent="0.25"/>
    <x:row r="859" spans="1:19" ht="15.75" customHeight="1" x14ac:dyDescent="0.25"/>
    <x:row r="860" spans="1:19" ht="15.75" customHeight="1" x14ac:dyDescent="0.25"/>
    <x:row r="861" spans="1:19" ht="15.75" customHeight="1" x14ac:dyDescent="0.25"/>
    <x:row r="862" spans="1:19" ht="15.75" customHeight="1" x14ac:dyDescent="0.25"/>
    <x:row r="863" spans="1:19" ht="15.75" customHeight="1" x14ac:dyDescent="0.25"/>
    <x:row r="864" spans="1:19" ht="15.75" customHeight="1" x14ac:dyDescent="0.25"/>
    <x:row r="865" spans="1:19" ht="15.75" customHeight="1" x14ac:dyDescent="0.25"/>
    <x:row r="866" spans="1:19" ht="15.75" customHeight="1" x14ac:dyDescent="0.25"/>
    <x:row r="867" spans="1:19" ht="15.75" customHeight="1" x14ac:dyDescent="0.25"/>
    <x:row r="868" spans="1:19" ht="15.75" customHeight="1" x14ac:dyDescent="0.25"/>
    <x:row r="869" spans="1:19" ht="15.75" customHeight="1" x14ac:dyDescent="0.25"/>
    <x:row r="870" spans="1:19" ht="15.75" customHeight="1" x14ac:dyDescent="0.25"/>
    <x:row r="871" spans="1:19" ht="15.75" customHeight="1" x14ac:dyDescent="0.25"/>
    <x:row r="872" spans="1:19" ht="15.75" customHeight="1" x14ac:dyDescent="0.25"/>
    <x:row r="873" spans="1:19" ht="15.75" customHeight="1" x14ac:dyDescent="0.25"/>
    <x:row r="874" spans="1:19" ht="15.75" customHeight="1" x14ac:dyDescent="0.25"/>
    <x:row r="875" spans="1:19" ht="15.75" customHeight="1" x14ac:dyDescent="0.25"/>
    <x:row r="876" spans="1:19" ht="15.75" customHeight="1" x14ac:dyDescent="0.25"/>
    <x:row r="877" spans="1:19" ht="15.75" customHeight="1" x14ac:dyDescent="0.25"/>
    <x:row r="878" spans="1:19" ht="15.75" customHeight="1" x14ac:dyDescent="0.25"/>
    <x:row r="879" spans="1:19" ht="15.75" customHeight="1" x14ac:dyDescent="0.25"/>
    <x:row r="880" spans="1:19" ht="15.75" customHeight="1" x14ac:dyDescent="0.25"/>
    <x:row r="881" spans="1:19" ht="15.75" customHeight="1" x14ac:dyDescent="0.25"/>
    <x:row r="882" spans="1:19" ht="15.75" customHeight="1" x14ac:dyDescent="0.25"/>
    <x:row r="883" spans="1:19" ht="15.75" customHeight="1" x14ac:dyDescent="0.25"/>
    <x:row r="884" spans="1:19" ht="15.75" customHeight="1" x14ac:dyDescent="0.25"/>
    <x:row r="885" spans="1:19" ht="15.75" customHeight="1" x14ac:dyDescent="0.25"/>
    <x:row r="886" spans="1:19" ht="15.75" customHeight="1" x14ac:dyDescent="0.25"/>
    <x:row r="887" spans="1:19" ht="15.75" customHeight="1" x14ac:dyDescent="0.25"/>
    <x:row r="888" spans="1:19" ht="15.75" customHeight="1" x14ac:dyDescent="0.25"/>
    <x:row r="889" spans="1:19" ht="15.75" customHeight="1" x14ac:dyDescent="0.25"/>
    <x:row r="890" spans="1:19" ht="15.75" customHeight="1" x14ac:dyDescent="0.25"/>
    <x:row r="891" spans="1:19" ht="15.75" customHeight="1" x14ac:dyDescent="0.25"/>
    <x:row r="892" spans="1:19" ht="15.75" customHeight="1" x14ac:dyDescent="0.25"/>
    <x:row r="893" spans="1:19" ht="15.75" customHeight="1" x14ac:dyDescent="0.25"/>
    <x:row r="894" spans="1:19" ht="15.75" customHeight="1" x14ac:dyDescent="0.25"/>
    <x:row r="895" spans="1:19" ht="15.75" customHeight="1" x14ac:dyDescent="0.25"/>
    <x:row r="896" spans="1:19" ht="15.75" customHeight="1" x14ac:dyDescent="0.25"/>
    <x:row r="897" spans="1:19" ht="15.75" customHeight="1" x14ac:dyDescent="0.25"/>
    <x:row r="898" spans="1:19" ht="15.75" customHeight="1" x14ac:dyDescent="0.25"/>
    <x:row r="899" spans="1:19" ht="15.75" customHeight="1" x14ac:dyDescent="0.25"/>
    <x:row r="900" spans="1:19" ht="15.75" customHeight="1" x14ac:dyDescent="0.25"/>
    <x:row r="901" spans="1:19" ht="15.75" customHeight="1" x14ac:dyDescent="0.25"/>
    <x:row r="902" spans="1:19" ht="15.75" customHeight="1" x14ac:dyDescent="0.25"/>
    <x:row r="903" spans="1:19" ht="15.75" customHeight="1" x14ac:dyDescent="0.25"/>
    <x:row r="904" spans="1:19" ht="15.75" customHeight="1" x14ac:dyDescent="0.25"/>
    <x:row r="905" spans="1:19" ht="15.75" customHeight="1" x14ac:dyDescent="0.25"/>
    <x:row r="906" spans="1:19" ht="15.75" customHeight="1" x14ac:dyDescent="0.25"/>
    <x:row r="907" spans="1:19" ht="15.75" customHeight="1" x14ac:dyDescent="0.25"/>
    <x:row r="908" spans="1:19" ht="15.75" customHeight="1" x14ac:dyDescent="0.25"/>
    <x:row r="909" spans="1:19" ht="15.75" customHeight="1" x14ac:dyDescent="0.25"/>
    <x:row r="910" spans="1:19" ht="15.75" customHeight="1" x14ac:dyDescent="0.25"/>
    <x:row r="911" spans="1:19" ht="15.75" customHeight="1" x14ac:dyDescent="0.25"/>
    <x:row r="912" spans="1:19" ht="15.75" customHeight="1" x14ac:dyDescent="0.25"/>
    <x:row r="913" spans="1:19" ht="15.75" customHeight="1" x14ac:dyDescent="0.25"/>
    <x:row r="914" spans="1:19" ht="15.75" customHeight="1" x14ac:dyDescent="0.25"/>
    <x:row r="915" spans="1:19" ht="15.75" customHeight="1" x14ac:dyDescent="0.25"/>
    <x:row r="916" spans="1:19" ht="15.75" customHeight="1" x14ac:dyDescent="0.25"/>
    <x:row r="917" spans="1:19" ht="15.75" customHeight="1" x14ac:dyDescent="0.25"/>
    <x:row r="918" spans="1:19" ht="15.75" customHeight="1" x14ac:dyDescent="0.25"/>
    <x:row r="919" spans="1:19" ht="15.75" customHeight="1" x14ac:dyDescent="0.25"/>
    <x:row r="920" spans="1:19" ht="15.75" customHeight="1" x14ac:dyDescent="0.25"/>
    <x:row r="921" spans="1:19" ht="15.75" customHeight="1" x14ac:dyDescent="0.25"/>
    <x:row r="922" spans="1:19" ht="15.75" customHeight="1" x14ac:dyDescent="0.25"/>
    <x:row r="923" spans="1:19" ht="15.75" customHeight="1" x14ac:dyDescent="0.25"/>
    <x:row r="924" spans="1:19" ht="15.75" customHeight="1" x14ac:dyDescent="0.25"/>
    <x:row r="925" spans="1:19" ht="15.75" customHeight="1" x14ac:dyDescent="0.25"/>
    <x:row r="926" spans="1:19" ht="15.75" customHeight="1" x14ac:dyDescent="0.25"/>
    <x:row r="927" spans="1:19" ht="15.75" customHeight="1" x14ac:dyDescent="0.25"/>
    <x:row r="928" spans="1:19" ht="15.75" customHeight="1" x14ac:dyDescent="0.25"/>
    <x:row r="929" spans="1:19" ht="15.75" customHeight="1" x14ac:dyDescent="0.25"/>
    <x:row r="930" spans="1:19" ht="15.75" customHeight="1" x14ac:dyDescent="0.25"/>
    <x:row r="931" spans="1:19" ht="15.75" customHeight="1" x14ac:dyDescent="0.25"/>
    <x:row r="932" spans="1:19" ht="15.75" customHeight="1" x14ac:dyDescent="0.25"/>
    <x:row r="933" spans="1:19" ht="15.75" customHeight="1" x14ac:dyDescent="0.25"/>
    <x:row r="934" spans="1:19" ht="15.75" customHeight="1" x14ac:dyDescent="0.25"/>
    <x:row r="935" spans="1:19" ht="15.75" customHeight="1" x14ac:dyDescent="0.25"/>
    <x:row r="936" spans="1:19" ht="15.75" customHeight="1" x14ac:dyDescent="0.25"/>
    <x:row r="937" spans="1:19" ht="15.75" customHeight="1" x14ac:dyDescent="0.25"/>
    <x:row r="938" spans="1:19" ht="15.75" customHeight="1" x14ac:dyDescent="0.25"/>
    <x:row r="939" spans="1:19" ht="15.75" customHeight="1" x14ac:dyDescent="0.25"/>
    <x:row r="940" spans="1:19" ht="15.75" customHeight="1" x14ac:dyDescent="0.25"/>
    <x:row r="941" spans="1:19" ht="15.75" customHeight="1" x14ac:dyDescent="0.25"/>
    <x:row r="942" spans="1:19" ht="15.75" customHeight="1" x14ac:dyDescent="0.25"/>
    <x:row r="943" spans="1:19" ht="15.75" customHeight="1" x14ac:dyDescent="0.25"/>
  </x:sheetData>
  <x:mergeCells count="8">
    <x:mergeCell ref="B1:L1"/>
    <x:mergeCell ref="A3:A4"/>
    <x:mergeCell ref="B3:B4"/>
    <x:mergeCell ref="C3:C4"/>
    <x:mergeCell ref="D3:D4"/>
    <x:mergeCell ref="E3:H3"/>
    <x:mergeCell ref="I3:L3"/>
    <x:mergeCell ref="M3:M4"/>
  </x:mergeCells>
  <x:conditionalFormatting sqref="M6:M55">
    <x:cfRule type="cellIs" dxfId="0" priority="1" operator="equal">
      <x:formula>"NG"</x:formula>
    </x:cfRule>
  </x:conditionalFormatting>
  <x:printOptions horizontalCentered="0" verticalCentered="0" headings="0" gridLines="0"/>
  <x:pageMargins left="0.7" right="0.7" top="0.75" bottom="0.75" header="0" footer="0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Phan Van Huy</dc:creator>
  <lastModifiedBy>Tuấn Anh Lê</lastModifiedBy>
  <dcterms:created xsi:type="dcterms:W3CDTF">2022-12-01T08:08:25.0000000Z</dcterms:created>
  <dcterms:modified xsi:type="dcterms:W3CDTF">2025-06-19T07:28:16.0000000Z</dcterms:modified>
</coreProperties>
</file>